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Ex2.xml" ContentType="application/vnd.ms-office.chartex+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Ex3.xml" ContentType="application/vnd.ms-office.chartex+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Ex4.xml" ContentType="application/vnd.ms-office.chartex+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Ex5.xml" ContentType="application/vnd.ms-office.chartex+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Ex6.xml" ContentType="application/vnd.ms-office.chartex+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harts/chartEx7.xml" ContentType="application/vnd.ms-office.chartex+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Tyler\Downloads\"/>
    </mc:Choice>
  </mc:AlternateContent>
  <xr:revisionPtr revIDLastSave="0" documentId="8_{A984F5BC-C502-41F7-998F-8C0AE8839803}" xr6:coauthVersionLast="47" xr6:coauthVersionMax="47" xr10:uidLastSave="{00000000-0000-0000-0000-000000000000}"/>
  <bookViews>
    <workbookView xWindow="-120" yWindow="-120" windowWidth="38640" windowHeight="21120" xr2:uid="{A1B78BD3-5FE9-47B6-A2AD-CEC660F6F885}"/>
  </bookViews>
  <sheets>
    <sheet name="monsters original" sheetId="3" r:id="rId1"/>
    <sheet name="monsters" sheetId="1" r:id="rId2"/>
    <sheet name="StrByType" sheetId="4" r:id="rId3"/>
    <sheet name="DexByType" sheetId="5" r:id="rId4"/>
    <sheet name="ConByType" sheetId="6" r:id="rId5"/>
    <sheet name="IntByType" sheetId="10" r:id="rId6"/>
    <sheet name="WisByType" sheetId="11" r:id="rId7"/>
    <sheet name="ChaByType" sheetId="12" r:id="rId8"/>
    <sheet name="CRByType" sheetId="13" r:id="rId9"/>
    <sheet name="Languages" sheetId="14" r:id="rId10"/>
  </sheets>
  <definedNames>
    <definedName name="_xlnm._FilterDatabase" localSheetId="9" hidden="1">Languages!$B$1:$B$331</definedName>
    <definedName name="_xlnm._FilterDatabase" localSheetId="1" hidden="1">monsters!$A$1:$AG$331</definedName>
    <definedName name="_xlnm._FilterDatabase" localSheetId="0" hidden="1">'monsters original'!$A$1:$AG$331</definedName>
    <definedName name="_xlchart.v1.0" hidden="1">StrByType!$B$1</definedName>
    <definedName name="_xlchart.v1.1" hidden="1">StrByType!$B$2:$B$85</definedName>
    <definedName name="_xlchart.v1.10" hidden="1">StrByType!$G$1</definedName>
    <definedName name="_xlchart.v1.100" hidden="1">WisByType!$F$1</definedName>
    <definedName name="_xlchart.v1.101" hidden="1">WisByType!$F$2:$F$85</definedName>
    <definedName name="_xlchart.v1.102" hidden="1">WisByType!$G$1</definedName>
    <definedName name="_xlchart.v1.103" hidden="1">WisByType!$G$2:$G$85</definedName>
    <definedName name="_xlchart.v1.104" hidden="1">WisByType!$H$1</definedName>
    <definedName name="_xlchart.v1.105" hidden="1">WisByType!$H$2:$H$85</definedName>
    <definedName name="_xlchart.v1.106" hidden="1">WisByType!$I$1</definedName>
    <definedName name="_xlchart.v1.107" hidden="1">WisByType!$I$2:$I$85</definedName>
    <definedName name="_xlchart.v1.108" hidden="1">WisByType!$J$1</definedName>
    <definedName name="_xlchart.v1.109" hidden="1">WisByType!$J$2:$J$85</definedName>
    <definedName name="_xlchart.v1.11" hidden="1">StrByType!$G$2:$G$85</definedName>
    <definedName name="_xlchart.v1.110" hidden="1">ChaByType!$B$1</definedName>
    <definedName name="_xlchart.v1.111" hidden="1">ChaByType!$B$2:$B$85</definedName>
    <definedName name="_xlchart.v1.112" hidden="1">ChaByType!$C$1</definedName>
    <definedName name="_xlchart.v1.113" hidden="1">ChaByType!$C$2:$C$85</definedName>
    <definedName name="_xlchart.v1.114" hidden="1">ChaByType!$D$1</definedName>
    <definedName name="_xlchart.v1.115" hidden="1">ChaByType!$D$2:$D$85</definedName>
    <definedName name="_xlchart.v1.116" hidden="1">ChaByType!$E$1</definedName>
    <definedName name="_xlchart.v1.117" hidden="1">ChaByType!$E$2:$E$85</definedName>
    <definedName name="_xlchart.v1.118" hidden="1">ChaByType!$F$1</definedName>
    <definedName name="_xlchart.v1.119" hidden="1">ChaByType!$F$2:$F$85</definedName>
    <definedName name="_xlchart.v1.12" hidden="1">StrByType!$H$1</definedName>
    <definedName name="_xlchart.v1.120" hidden="1">ChaByType!$G$1</definedName>
    <definedName name="_xlchart.v1.121" hidden="1">ChaByType!$G$2:$G$85</definedName>
    <definedName name="_xlchart.v1.122" hidden="1">ChaByType!$H$1</definedName>
    <definedName name="_xlchart.v1.123" hidden="1">ChaByType!$H$2:$H$85</definedName>
    <definedName name="_xlchart.v1.124" hidden="1">ChaByType!$I$1</definedName>
    <definedName name="_xlchart.v1.125" hidden="1">ChaByType!$I$2:$I$85</definedName>
    <definedName name="_xlchart.v1.126" hidden="1">ChaByType!$J$1</definedName>
    <definedName name="_xlchart.v1.127" hidden="1">ChaByType!$J$2:$J$85</definedName>
    <definedName name="_xlchart.v1.128" hidden="1">CRByType!$B$1</definedName>
    <definedName name="_xlchart.v1.129" hidden="1">CRByType!$B$2:$B$85</definedName>
    <definedName name="_xlchart.v1.13" hidden="1">StrByType!$H$2:$H$85</definedName>
    <definedName name="_xlchart.v1.130" hidden="1">CRByType!$C$1</definedName>
    <definedName name="_xlchart.v1.131" hidden="1">CRByType!$C$2:$C$85</definedName>
    <definedName name="_xlchart.v1.132" hidden="1">CRByType!$D$1</definedName>
    <definedName name="_xlchart.v1.133" hidden="1">CRByType!$D$2:$D$85</definedName>
    <definedName name="_xlchart.v1.134" hidden="1">CRByType!$E$1</definedName>
    <definedName name="_xlchart.v1.135" hidden="1">CRByType!$E$2:$E$85</definedName>
    <definedName name="_xlchart.v1.136" hidden="1">CRByType!$F$1</definedName>
    <definedName name="_xlchart.v1.137" hidden="1">CRByType!$F$2:$F$85</definedName>
    <definedName name="_xlchart.v1.138" hidden="1">CRByType!$G$1</definedName>
    <definedName name="_xlchart.v1.139" hidden="1">CRByType!$G$2:$G$85</definedName>
    <definedName name="_xlchart.v1.14" hidden="1">StrByType!$I$1</definedName>
    <definedName name="_xlchart.v1.140" hidden="1">CRByType!$H$1</definedName>
    <definedName name="_xlchart.v1.141" hidden="1">CRByType!$H$2:$H$85</definedName>
    <definedName name="_xlchart.v1.142" hidden="1">CRByType!$I$1</definedName>
    <definedName name="_xlchart.v1.143" hidden="1">CRByType!$I$2:$I$85</definedName>
    <definedName name="_xlchart.v1.144" hidden="1">CRByType!$J$1</definedName>
    <definedName name="_xlchart.v1.145" hidden="1">CRByType!$J$2:$J$85</definedName>
    <definedName name="_xlchart.v1.146" hidden="1">CRByType!$B$1</definedName>
    <definedName name="_xlchart.v1.147" hidden="1">CRByType!$B$2:$B$85</definedName>
    <definedName name="_xlchart.v1.148" hidden="1">CRByType!$C$1</definedName>
    <definedName name="_xlchart.v1.149" hidden="1">CRByType!$C$2:$C$85</definedName>
    <definedName name="_xlchart.v1.15" hidden="1">StrByType!$I$2:$I$85</definedName>
    <definedName name="_xlchart.v1.150" hidden="1">CRByType!$D$1</definedName>
    <definedName name="_xlchart.v1.151" hidden="1">CRByType!$D$2:$D$85</definedName>
    <definedName name="_xlchart.v1.152" hidden="1">CRByType!$E$1</definedName>
    <definedName name="_xlchart.v1.153" hidden="1">CRByType!$E$2:$E$85</definedName>
    <definedName name="_xlchart.v1.154" hidden="1">CRByType!$F$1</definedName>
    <definedName name="_xlchart.v1.155" hidden="1">CRByType!$F$2:$F$85</definedName>
    <definedName name="_xlchart.v1.156" hidden="1">CRByType!$G$1</definedName>
    <definedName name="_xlchart.v1.157" hidden="1">CRByType!$G$2:$G$85</definedName>
    <definedName name="_xlchart.v1.158" hidden="1">CRByType!$H$1</definedName>
    <definedName name="_xlchart.v1.159" hidden="1">CRByType!$H$2:$H$85</definedName>
    <definedName name="_xlchart.v1.16" hidden="1">StrByType!$J$1</definedName>
    <definedName name="_xlchart.v1.160" hidden="1">CRByType!$I$1</definedName>
    <definedName name="_xlchart.v1.161" hidden="1">CRByType!$I$2:$I$85</definedName>
    <definedName name="_xlchart.v1.162" hidden="1">CRByType!$J$1</definedName>
    <definedName name="_xlchart.v1.163" hidden="1">CRByType!$J$2:$J$85</definedName>
    <definedName name="_xlchart.v1.17" hidden="1">StrByType!$J$2:$J$85</definedName>
    <definedName name="_xlchart.v1.18" hidden="1">StrByType!$B$1</definedName>
    <definedName name="_xlchart.v1.19" hidden="1">StrByType!$B$2:$B$85</definedName>
    <definedName name="_xlchart.v1.2" hidden="1">StrByType!$C$1</definedName>
    <definedName name="_xlchart.v1.20" hidden="1">StrByType!$C$1</definedName>
    <definedName name="_xlchart.v1.21" hidden="1">StrByType!$C$2:$C$85</definedName>
    <definedName name="_xlchart.v1.22" hidden="1">StrByType!$D$1</definedName>
    <definedName name="_xlchart.v1.23" hidden="1">StrByType!$D$2:$D$85</definedName>
    <definedName name="_xlchart.v1.24" hidden="1">StrByType!$E$1</definedName>
    <definedName name="_xlchart.v1.25" hidden="1">StrByType!$E$2:$E$85</definedName>
    <definedName name="_xlchart.v1.26" hidden="1">StrByType!$F$1</definedName>
    <definedName name="_xlchart.v1.27" hidden="1">StrByType!$F$2:$F$85</definedName>
    <definedName name="_xlchart.v1.28" hidden="1">StrByType!$G$1</definedName>
    <definedName name="_xlchart.v1.29" hidden="1">StrByType!$G$2:$G$85</definedName>
    <definedName name="_xlchart.v1.3" hidden="1">StrByType!$C$2:$C$85</definedName>
    <definedName name="_xlchart.v1.30" hidden="1">StrByType!$H$1</definedName>
    <definedName name="_xlchart.v1.31" hidden="1">StrByType!$H$2:$H$85</definedName>
    <definedName name="_xlchart.v1.32" hidden="1">StrByType!$I$1</definedName>
    <definedName name="_xlchart.v1.33" hidden="1">StrByType!$I$2:$I$85</definedName>
    <definedName name="_xlchart.v1.34" hidden="1">StrByType!$J$1</definedName>
    <definedName name="_xlchart.v1.35" hidden="1">StrByType!$J$2:$J$85</definedName>
    <definedName name="_xlchart.v1.36" hidden="1">DexByType!$A$1</definedName>
    <definedName name="_xlchart.v1.37" hidden="1">DexByType!$A$2:$A$85</definedName>
    <definedName name="_xlchart.v1.38" hidden="1">DexByType!$B$1</definedName>
    <definedName name="_xlchart.v1.39" hidden="1">DexByType!$B$2:$B$85</definedName>
    <definedName name="_xlchart.v1.4" hidden="1">StrByType!$D$1</definedName>
    <definedName name="_xlchart.v1.40" hidden="1">DexByType!$C$1</definedName>
    <definedName name="_xlchart.v1.41" hidden="1">DexByType!$C$2:$C$85</definedName>
    <definedName name="_xlchart.v1.42" hidden="1">DexByType!$D$1</definedName>
    <definedName name="_xlchart.v1.43" hidden="1">DexByType!$D$2:$D$85</definedName>
    <definedName name="_xlchart.v1.44" hidden="1">DexByType!$E$1</definedName>
    <definedName name="_xlchart.v1.45" hidden="1">DexByType!$E$2:$E$85</definedName>
    <definedName name="_xlchart.v1.46" hidden="1">DexByType!$F$1</definedName>
    <definedName name="_xlchart.v1.47" hidden="1">DexByType!$F$2:$F$85</definedName>
    <definedName name="_xlchart.v1.48" hidden="1">DexByType!$G$1</definedName>
    <definedName name="_xlchart.v1.49" hidden="1">DexByType!$G$2:$G$85</definedName>
    <definedName name="_xlchart.v1.5" hidden="1">StrByType!$D$2:$D$85</definedName>
    <definedName name="_xlchart.v1.50" hidden="1">DexByType!$H$1</definedName>
    <definedName name="_xlchart.v1.51" hidden="1">DexByType!$H$2:$H$85</definedName>
    <definedName name="_xlchart.v1.52" hidden="1">DexByType!$I$1</definedName>
    <definedName name="_xlchart.v1.53" hidden="1">DexByType!$I$2:$I$85</definedName>
    <definedName name="_xlchart.v1.54" hidden="1">DexByType!$J$1</definedName>
    <definedName name="_xlchart.v1.55" hidden="1">DexByType!$J$2:$J$85</definedName>
    <definedName name="_xlchart.v1.56" hidden="1">ConByType!$B$1</definedName>
    <definedName name="_xlchart.v1.57" hidden="1">ConByType!$B$2:$B$85</definedName>
    <definedName name="_xlchart.v1.58" hidden="1">ConByType!$C$1</definedName>
    <definedName name="_xlchart.v1.59" hidden="1">ConByType!$C$2:$C$85</definedName>
    <definedName name="_xlchart.v1.6" hidden="1">StrByType!$E$1</definedName>
    <definedName name="_xlchart.v1.60" hidden="1">ConByType!$D$1</definedName>
    <definedName name="_xlchart.v1.61" hidden="1">ConByType!$D$2:$D$85</definedName>
    <definedName name="_xlchart.v1.62" hidden="1">ConByType!$E$1</definedName>
    <definedName name="_xlchart.v1.63" hidden="1">ConByType!$E$2:$E$85</definedName>
    <definedName name="_xlchart.v1.64" hidden="1">ConByType!$F$1</definedName>
    <definedName name="_xlchart.v1.65" hidden="1">ConByType!$F$2:$F$85</definedName>
    <definedName name="_xlchart.v1.66" hidden="1">ConByType!$G$1</definedName>
    <definedName name="_xlchart.v1.67" hidden="1">ConByType!$G$2:$G$85</definedName>
    <definedName name="_xlchart.v1.68" hidden="1">ConByType!$H$1</definedName>
    <definedName name="_xlchart.v1.69" hidden="1">ConByType!$H$2:$H$85</definedName>
    <definedName name="_xlchart.v1.7" hidden="1">StrByType!$E$2:$E$85</definedName>
    <definedName name="_xlchart.v1.70" hidden="1">ConByType!$I$1</definedName>
    <definedName name="_xlchart.v1.71" hidden="1">ConByType!$I$2:$I$85</definedName>
    <definedName name="_xlchart.v1.72" hidden="1">ConByType!$J$1</definedName>
    <definedName name="_xlchart.v1.73" hidden="1">ConByType!$J$2:$J$85</definedName>
    <definedName name="_xlchart.v1.74" hidden="1">IntByType!$B$1</definedName>
    <definedName name="_xlchart.v1.75" hidden="1">IntByType!$B$2:$B$85</definedName>
    <definedName name="_xlchart.v1.76" hidden="1">IntByType!$C$1</definedName>
    <definedName name="_xlchart.v1.77" hidden="1">IntByType!$C$2:$C$85</definedName>
    <definedName name="_xlchart.v1.78" hidden="1">IntByType!$D$1</definedName>
    <definedName name="_xlchart.v1.79" hidden="1">IntByType!$D$2:$D$85</definedName>
    <definedName name="_xlchart.v1.8" hidden="1">StrByType!$F$1</definedName>
    <definedName name="_xlchart.v1.80" hidden="1">IntByType!$E$1</definedName>
    <definedName name="_xlchart.v1.81" hidden="1">IntByType!$E$2:$E$85</definedName>
    <definedName name="_xlchart.v1.82" hidden="1">IntByType!$F$1</definedName>
    <definedName name="_xlchart.v1.83" hidden="1">IntByType!$F$2:$F$85</definedName>
    <definedName name="_xlchart.v1.84" hidden="1">IntByType!$G$1</definedName>
    <definedName name="_xlchart.v1.85" hidden="1">IntByType!$G$2:$G$85</definedName>
    <definedName name="_xlchart.v1.86" hidden="1">IntByType!$H$1</definedName>
    <definedName name="_xlchart.v1.87" hidden="1">IntByType!$H$2:$H$85</definedName>
    <definedName name="_xlchart.v1.88" hidden="1">IntByType!$I$1</definedName>
    <definedName name="_xlchart.v1.89" hidden="1">IntByType!$I$2:$I$85</definedName>
    <definedName name="_xlchart.v1.9" hidden="1">StrByType!$F$2:$F$85</definedName>
    <definedName name="_xlchart.v1.90" hidden="1">IntByType!$J$1</definedName>
    <definedName name="_xlchart.v1.91" hidden="1">IntByType!$J$2:$J$85</definedName>
    <definedName name="_xlchart.v1.92" hidden="1">WisByType!$B$1</definedName>
    <definedName name="_xlchart.v1.93" hidden="1">WisByType!$B$2:$B$85</definedName>
    <definedName name="_xlchart.v1.94" hidden="1">WisByType!$C$1</definedName>
    <definedName name="_xlchart.v1.95" hidden="1">WisByType!$C$2:$C$85</definedName>
    <definedName name="_xlchart.v1.96" hidden="1">WisByType!$D$1</definedName>
    <definedName name="_xlchart.v1.97" hidden="1">WisByType!$D$2:$D$85</definedName>
    <definedName name="_xlchart.v1.98" hidden="1">WisByType!$E$1</definedName>
    <definedName name="_xlchart.v1.99" hidden="1">WisByType!$E$2:$E$85</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7" i="14" l="1"/>
  <c r="I25" i="14"/>
  <c r="I3" i="14"/>
  <c r="I4" i="14"/>
  <c r="I5" i="14"/>
  <c r="I6" i="14"/>
  <c r="I8" i="14"/>
  <c r="I9" i="14"/>
  <c r="I10" i="14"/>
  <c r="I11" i="14"/>
  <c r="I12" i="14"/>
  <c r="I13" i="14"/>
  <c r="I14" i="14"/>
  <c r="I15" i="14"/>
  <c r="I16" i="14"/>
  <c r="I17" i="14"/>
  <c r="I18" i="14"/>
  <c r="I19" i="14"/>
  <c r="I20" i="14"/>
  <c r="I21" i="14"/>
  <c r="I22" i="14"/>
  <c r="I23" i="14"/>
  <c r="I24" i="14"/>
  <c r="I2" i="14"/>
  <c r="J2" i="13" a="1"/>
  <c r="J2" i="13" s="1"/>
  <c r="I2" i="13" a="1"/>
  <c r="I2" i="13" s="1"/>
  <c r="H2" i="13" a="1"/>
  <c r="H2" i="13" s="1"/>
  <c r="G2" i="13" a="1"/>
  <c r="G2" i="13" s="1"/>
  <c r="F2" i="13" a="1"/>
  <c r="F2" i="13" s="1"/>
  <c r="E2" i="13" a="1"/>
  <c r="E2" i="13" s="1"/>
  <c r="D2" i="13" a="1"/>
  <c r="D2" i="13" s="1"/>
  <c r="C2" i="13" a="1"/>
  <c r="C2" i="13" s="1"/>
  <c r="B2" i="13" a="1"/>
  <c r="B2" i="13" s="1"/>
  <c r="J2" i="12" a="1"/>
  <c r="J2" i="12" s="1"/>
  <c r="I2" i="12" a="1"/>
  <c r="I2" i="12" s="1"/>
  <c r="H2" i="12" a="1"/>
  <c r="H2" i="12" s="1"/>
  <c r="G2" i="12" a="1"/>
  <c r="G2" i="12" s="1"/>
  <c r="F2" i="12" a="1"/>
  <c r="F2" i="12" s="1"/>
  <c r="E2" i="12" a="1"/>
  <c r="E2" i="12" s="1"/>
  <c r="D2" i="12" a="1"/>
  <c r="D2" i="12" s="1"/>
  <c r="C2" i="12" a="1"/>
  <c r="C2" i="12" s="1"/>
  <c r="B2" i="12" a="1"/>
  <c r="B2" i="12" s="1"/>
  <c r="J2" i="11" a="1"/>
  <c r="J2" i="11" s="1"/>
  <c r="I2" i="11" a="1"/>
  <c r="I2" i="11" s="1"/>
  <c r="H2" i="11" a="1"/>
  <c r="H2" i="11" s="1"/>
  <c r="G2" i="11" a="1"/>
  <c r="G2" i="11" s="1"/>
  <c r="F2" i="11" a="1"/>
  <c r="F2" i="11" s="1"/>
  <c r="E2" i="11" a="1"/>
  <c r="E2" i="11" s="1"/>
  <c r="D2" i="11" a="1"/>
  <c r="D2" i="11" s="1"/>
  <c r="C2" i="11" a="1"/>
  <c r="C2" i="11" s="1"/>
  <c r="B2" i="11" a="1"/>
  <c r="B2" i="11" s="1"/>
  <c r="J2" i="10" a="1"/>
  <c r="J2" i="10" s="1"/>
  <c r="I2" i="10" a="1"/>
  <c r="I2" i="10" s="1"/>
  <c r="H2" i="10" a="1"/>
  <c r="H2" i="10" s="1"/>
  <c r="G2" i="10" a="1"/>
  <c r="G2" i="10" s="1"/>
  <c r="F2" i="10" a="1"/>
  <c r="F2" i="10" s="1"/>
  <c r="E2" i="10" a="1"/>
  <c r="E2" i="10" s="1"/>
  <c r="D2" i="10" a="1"/>
  <c r="D2" i="10" s="1"/>
  <c r="C2" i="10" a="1"/>
  <c r="C2" i="10" s="1"/>
  <c r="B2" i="10" a="1"/>
  <c r="B2" i="10" s="1"/>
  <c r="J2" i="6" a="1"/>
  <c r="J2" i="6" s="1"/>
  <c r="I2" i="6" a="1"/>
  <c r="I2" i="6" s="1"/>
  <c r="H2" i="6" a="1"/>
  <c r="H2" i="6" s="1"/>
  <c r="G2" i="6" a="1"/>
  <c r="G2" i="6" s="1"/>
  <c r="F2" i="6" a="1"/>
  <c r="F2" i="6" s="1"/>
  <c r="E2" i="6" a="1"/>
  <c r="E2" i="6" s="1"/>
  <c r="D2" i="6" a="1"/>
  <c r="D2" i="6" s="1"/>
  <c r="C2" i="6" a="1"/>
  <c r="C2" i="6" s="1"/>
  <c r="B2" i="6" a="1"/>
  <c r="B2" i="6" s="1"/>
  <c r="J2" i="4" a="1"/>
  <c r="J2" i="4" s="1"/>
  <c r="J2" i="5" a="1"/>
  <c r="J2" i="5" s="1"/>
  <c r="C2" i="5" a="1"/>
  <c r="C2" i="5" s="1"/>
  <c r="D2" i="5" a="1"/>
  <c r="D2" i="5" s="1"/>
  <c r="E2" i="5" a="1"/>
  <c r="E2" i="5" s="1"/>
  <c r="F2" i="5" a="1"/>
  <c r="F2" i="5" s="1"/>
  <c r="G2" i="5" a="1"/>
  <c r="G2" i="5" s="1"/>
  <c r="H2" i="5" a="1"/>
  <c r="H2" i="5" s="1"/>
  <c r="I2" i="5" a="1"/>
  <c r="I2" i="5" s="1"/>
  <c r="B2" i="5" a="1"/>
  <c r="B2" i="5" s="1"/>
  <c r="C2" i="4" a="1"/>
  <c r="C2" i="4" s="1"/>
  <c r="D2" i="4" a="1"/>
  <c r="D2" i="4" s="1"/>
  <c r="E2" i="4" a="1"/>
  <c r="E2" i="4" s="1"/>
  <c r="F2" i="4" a="1"/>
  <c r="F2" i="4" s="1"/>
  <c r="G2" i="4" a="1"/>
  <c r="G2" i="4" s="1"/>
  <c r="H2" i="4" a="1"/>
  <c r="H2" i="4" s="1"/>
  <c r="I2" i="4" a="1"/>
  <c r="I2" i="4" s="1"/>
  <c r="B2" i="4" a="1"/>
  <c r="B2" i="4"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<sst xmlns="http://schemas.openxmlformats.org/spreadsheetml/2006/main" count="11095" uniqueCount="1730">
  <si>
    <t>name</t>
  </si>
  <si>
    <t>category</t>
  </si>
  <si>
    <t>cr</t>
  </si>
  <si>
    <t>size</t>
  </si>
  <si>
    <t>type</t>
  </si>
  <si>
    <t>descriptive_tags</t>
  </si>
  <si>
    <t>alignment</t>
  </si>
  <si>
    <t>ac</t>
  </si>
  <si>
    <t>initiative</t>
  </si>
  <si>
    <t>hp</t>
  </si>
  <si>
    <t>hp_number</t>
  </si>
  <si>
    <t>speed</t>
  </si>
  <si>
    <t>speed_base_number</t>
  </si>
  <si>
    <t>str</t>
  </si>
  <si>
    <t>dex</t>
  </si>
  <si>
    <t>con</t>
  </si>
  <si>
    <t>int</t>
  </si>
  <si>
    <t>wis</t>
  </si>
  <si>
    <t>cha</t>
  </si>
  <si>
    <t>str_save</t>
  </si>
  <si>
    <t>dex_save</t>
  </si>
  <si>
    <t>con_save</t>
  </si>
  <si>
    <t>int_save</t>
  </si>
  <si>
    <t>wis_save</t>
  </si>
  <si>
    <t>cha_save</t>
  </si>
  <si>
    <t>skills</t>
  </si>
  <si>
    <t>resistances</t>
  </si>
  <si>
    <t>vulnerabilities</t>
  </si>
  <si>
    <t>immunities</t>
  </si>
  <si>
    <t>gear</t>
  </si>
  <si>
    <t>senses</t>
  </si>
  <si>
    <t>languages</t>
  </si>
  <si>
    <t>full_text</t>
  </si>
  <si>
    <t>Aboleth</t>
  </si>
  <si>
    <t>Large</t>
  </si>
  <si>
    <t>Aberration</t>
  </si>
  <si>
    <t>NA</t>
  </si>
  <si>
    <t>Lawful Evil</t>
  </si>
  <si>
    <t>150 (20d10 + 40)</t>
  </si>
  <si>
    <t>Speed 10 ft., Swim 40 ft.</t>
  </si>
  <si>
    <t>History +12, Perception +10</t>
  </si>
  <si>
    <t>Darkvision 120 ft.; Passive Perception 20</t>
  </si>
  <si>
    <t>Deep Speech; telepathy 120 ft.</t>
  </si>
  <si>
    <t>Aboleth
Large Aberration, Lawful Evil
AC 17		                   Initiative +7 (17)
HP 150 (20d10 + 40)
Speed 10 ft., Swim 40 ft.
MOD SAVE              MOD SAVE           MOD SAVE
Str 21 +5 +5         Dex 9 âˆ’1 +3           Con 15 +2 +6
Int 18 +4 +8         Wis 15 +2 +6          Cha 18 +4 +4
Skills History +12, Perception +10
Senses Darkvision 120 ft.; Passive Perception 20
Languages Deep Speech; telepathy 120 ft.
CR 10 (XP 5,900, or 7,200 in lair; PB +4)
Traits
Amphibious. The aboleth can breathe air and water.
Eldritch Restoration. If destroyed, the aboleth gains
a new body in 5d10 days, reviving with all its Hit
Points in the Far Realm or another location chosen
by the GM.
Legendary Resistance (3/Day, or 4/Day in Lair). If
the aboleth fails a saving throw, it can choose to suc-
ceed instead.
Mucus Cloud. While underwater, the aboleth is sur-
rounded by mucus. Constitution Saving Throw: DC 14,
each creature in a 5-foot Emanation originating from
the aboleth at the end of the abolethâ€™s turn. Failure: The
target is cursed. Until the curse ends, the targetâ€™s skin
becomes slimy, the target can breathe air and water,
and it canâ€™t regain Hit Points unless it is underwater.
While the cursed creature is outside a body of water,
the creature takes 6 (1d12) Acid damage at the end of
every 10 minutes unless moisture is applied to its skin
before those minutes have passed.
Probing Telepathy. If a creature the aboleth can see
communicates telepathically with the aboleth, the abo-
leth learns the creatureâ€™s greatest desires.
Actions
Multiattack. The aboleth makes two Tentacle attacks
and uses either Consume Memories or Dominate Mind
if available.
Tentacle. Melee Attack Roll: +9, reach 15 ft. Hit: 12
(2d6 + 5) Bludgeoning damage. If the target is a Large
or smaller creature, it has the Grappled condition (es-
cape DC 14) from one of four tentacles.
Consume Memories. Intelligence Saving Throw: DC 16,
one creature within 30 feet that is Charmed or Grap-
pled by the aboleth. Failure: 10 (3d6) Psychic damage.
Success: Half damage. Failure or Success: The aboleth
gains the targetâ€™s memories if the target is a Humanoid
and is reduced to 0 Hit Points by this action.
Dominate Mind (2/Day). Wisdom Saving Throw: DC
16, one creature the aboleth can see within 30 feet.
Failure: The target has the Charmed condition until
the aboleth dies or is on a different plane of existence
from the target. While Charmed, the target acts as an
ally to the aboleth and is under its control while within
60 feet of it. In addition, the aboleth and the target
can communicate telepathically with each other over
any distance.
The target repeats the save whenever it takes damage
as well as after every 24 hours it spends at least 1 mile
away from the aboleth, ending the effect on itself on
a success.
Legendary Actions
Legendary Action Uses: 3 (4 in Lair). Immediately after
another creatureâ€™s turn, the aboleth can expend a use to
take one of the following actions. The aboleth regains all
expended uses at the start of each of its turns.
Lash. The aboleth makes one Tentacle attack.
Psychic Drain. If the aboleth has at least one creature
Charmed or Grappled, it uses Consume Memories and
regains 5 (1d10) Hit Points.</t>
  </si>
  <si>
    <t>Air Elemental</t>
  </si>
  <si>
    <t>Elemental</t>
  </si>
  <si>
    <t>Neutral</t>
  </si>
  <si>
    <t>90 (12d10 + 24)</t>
  </si>
  <si>
    <t>Speed 10 ft., Fly 90 ft. (hover)</t>
  </si>
  <si>
    <t>Bludgeoning, Lightning, Piercing, Slashing</t>
  </si>
  <si>
    <t>Poison, Thunder; Exhaustion, Grappled, Paralyzed, Petrified, Poisoned, Prone, Restrained, Unconscious</t>
  </si>
  <si>
    <t>Darkvision 60 ft.; Passive Perception 10</t>
  </si>
  <si>
    <t>Primordial (Auran)</t>
  </si>
  <si>
    <t>Air Elemental
Large Elemental, Neutral
AC 15		                      Initiative +5 (15)
HP 90 (12d10 + 24)
Speed 10 ft., Fly 90 ft. (hover)
MOD SAVE              MOD SAVE           MOD SAVE
Str 14 +2 +2          Dex 20 +5 +5         Con 14 +2 +2
Int 6 âˆ’2 âˆ’2           Wis 10 +0 +0         Cha 6 âˆ’2 âˆ’2
Resistances Bludgeoning, Lightning, Piercing, Slashing
Immunities Poison, Thunder; Exhaustion, Grappled,
Paralyzed, Petrified, Poisoned, Prone, Restrained,
Unconscious
Senses Darkvision 60 ft.; Passive Perception 10
Languages Primordial (Auran)
CR 5 (XP 1,800; PB +3)
Traits
Air Form. The elemental can enter a creatureâ€™s space
and stop there. It can move through a space as narrow
as 1 inch without expending extra movement to do so.
Actions
Multiattack. The elemental makes two Thunderous
Slam attacks.
Thunderous Slam. Melee Attack Roll: +8, reach 10 ft.
Hit: 14 (2d8 + 5) Thunder damage.
Whirlwind (Recharge 4â€“6). Strength Saving Throw: DC
13, one Medium or smaller creature in the elementalâ€™s
space. Failure: 24 (4d10 + 2) Thunder damage, and the
target is pushed up to 20 feet straight away from the
elemental and has the Prone condition. Success: Half
damage only.</t>
  </si>
  <si>
    <t>Animated Armor</t>
  </si>
  <si>
    <t>Animated Objects</t>
  </si>
  <si>
    <t>Medium</t>
  </si>
  <si>
    <t>Construct</t>
  </si>
  <si>
    <t>Unaligned</t>
  </si>
  <si>
    <t>33 (6d8 + 6)</t>
  </si>
  <si>
    <t>Speed 25 ft.</t>
  </si>
  <si>
    <t>Poison, Psychic; Charmed, Deafened, Exhaustion, Frightened, Paralyzed, Petrified, Poisoned</t>
  </si>
  <si>
    <t>Blindsight 60 ft.; Passive Perception 6</t>
  </si>
  <si>
    <t>None</t>
  </si>
  <si>
    <t>Animated Armor
Medium Construct, Unaligned
AC 18		                     Initiative +2 (12)
HP 33 (6d8 + 6)
Speed 25 ft.
MOD SAVE              MOD SAVE          MOD SAVE
Str 14 +2 +2          Dex 11 +0 +0         Con 13 +1 +1
Int 1 âˆ’5 âˆ’5           Wis 3 âˆ’4 âˆ’4          Cha 1 âˆ’5 âˆ’5
Immunities Poison, Psychic; Charmed, Deafened,
Exhaustion, Frightened, Paralyzed, Petrified, Poisoned
Senses Blindsight 60 ft.; Passive Perception 6
Languages None
CR 1 (XP 200; PB +2)
Actions
Multiattack. The armor makes two Slam attacks.
Slam. Melee Attack Roll: +4, reach 5 ft. Hit: 5 (1d6 + 2)
Bludgeoning damage.</t>
  </si>
  <si>
    <t>Animated Flying Sword</t>
  </si>
  <si>
    <t>Small</t>
  </si>
  <si>
    <t>14 (4d6)</t>
  </si>
  <si>
    <t>Speed 5 ft., Fly 50 ft. (hover)</t>
  </si>
  <si>
    <t>Blindsight 60 ft.; Passive Perception 7</t>
  </si>
  <si>
    <t>Animated Flying Sword
Small Construct, Unaligned
AC 17		                      Initiative +4 (14)
HP 14 (4d6)
Speed 5 ft., Fly 50 ft. (hover)
MOD SAVE              MOD SAVE          MOD SAVE
Str 12 +1 +1          Dex 15 +2 +4         Con 11 +0 +0
Int 1 âˆ’5 âˆ’5           Wis 5 âˆ’3 âˆ’3          Cha 1 âˆ’5 âˆ’5
Immunities Poison, Psychic; Charmed, Deafened,
Exhaustion, Frightened, Paralyzed, Petrified, Poisoned
Senses Blindsight 60 ft.; Passive Perception 7
Languages None
CR 1/4 (XP 50; PB +2)
Actions
Slash. Melee Attack Roll: +4, reach 5 ft. Hit: 6 (1d8 + 2)
Slashing damage.</t>
  </si>
  <si>
    <t>Animated Rug of Smothering</t>
  </si>
  <si>
    <t>27 (5d10)</t>
  </si>
  <si>
    <t>Speed 10 ft.</t>
  </si>
  <si>
    <t>Animated Rug of Smothering
Large Construct, Unaligned
AC 12		                     Initiative +4 (14)
HP 27 (5d10)
Speed 10 ft.
MOD SAVE             MOD SAVE           MOD SAVE
Str 17 +3 +3         Dex 14 +2 +2         Con 10 +0 +0
Int 1 âˆ’5 âˆ’5          Wis 3 âˆ’4 âˆ’4          Cha 1 âˆ’5 âˆ’5
Immunities Poison, Psychic; Charmed, Deafened,
Exhaustion, Frightened, Paralyzed, Petrified, Poisoned
Senses Blindsight 60 ft.; Passive Perception 6
Languages None
CR 2 (XP 450; PB +2)
Actions
Smother. Melee Attack Roll: +5, reach 5 ft. Hit: 10 (2d6
+ 3) Bludgeoning damage. If the target is a Medium or
smaller creature, the rug can give it the Grappled con-
dition (escape DC 13) instead of dealing damage. Until
the grapple ends, the target has the Blinded and Re-
strained conditions, is suffocating, and takes 10 (2d6 +
3) Bludgeoning damage at the start of each of its turns.
The rug can smother only one creature at a time.
While grappling the target, the rug canâ€™t take this ac-
tion, the rug halves the damage it takes (round down),
and the target takes the same amount of damage.</t>
  </si>
  <si>
    <t>Ankheg</t>
  </si>
  <si>
    <t>Monstrosity</t>
  </si>
  <si>
    <t>45 (6d10 + 12)</t>
  </si>
  <si>
    <t>Speed 30 ft., Burrow 10 ft.</t>
  </si>
  <si>
    <t>Darkvision 60 ft., Tremorsense 60 ft.; Passive Perception 11</t>
  </si>
  <si>
    <t>Ankheg
Large Monstrosity, Unaligned
AC 14		                     Initiative +0 (10)
HP 45 (6d10 + 12)
Speed 30 ft., Burrow 10 ft.
MOD SAVE             MOD SAVE           MOD SAVE
Str 17 +3 +3         Dex 11 +0 +0         Con 14 +2 +2
Int 1 âˆ’5 âˆ’5          Wis 13 +1 +1         Cha 6 âˆ’2 âˆ’2
Senses Darkvision 60 ft., Tremorsense 60 ft.;
Passive Perception 11
Languages None
CR 2 (XP 450; PB +2)
Traits
Tunneler. The ankheg can burrow through solid rock
at half its Burrow Speed and leaves a 10-foot-diameter
tunnel in its wake.
Actions
Bite. Melee Attack Roll: +5 (with Advantage if the target
is Grappled by the ankheg), reach 5 ft. Hit: 10 (2d6 + 3)
Slashing damage plus 3 (1d6) Acid damage. If the target
is a Large or smaller creature, it has the Grappled con-
dition (escape DC 13).
Acid Spray (Recharge 6). Dexterity Saving Throw: DC
12, each creature in a 30-foot-long, 5-foot-wide Line.
Failure: 14 (4d6) Acid damage. Success: Half damage.</t>
  </si>
  <si>
    <t>Assassin</t>
  </si>
  <si>
    <t>Medium or Small</t>
  </si>
  <si>
    <t>Humanoid</t>
  </si>
  <si>
    <t>97 (15d8 + 30)</t>
  </si>
  <si>
    <t>Speed 30 ft.</t>
  </si>
  <si>
    <t>Acrobatics +7, Perception +6, Stealth +10</t>
  </si>
  <si>
    <t>Poison</t>
  </si>
  <si>
    <t>Light Crossbow, Shortsword, Studded Leather Armor</t>
  </si>
  <si>
    <t>Passive Perception 16</t>
  </si>
  <si>
    <t>Common, Thievesâ€™ Cant</t>
  </si>
  <si>
    <t>Assassin
Medium or Small Humanoid, Neutral
AC 16		                    Initiative +10 (20)
HP 97 (15d8 + 30)
Speed 30 ft.
MOD SAVE             MOD SAVE            MOD SAVE
Str 11 +0 +0           Dex 18 +4 +7       Con 14 +2 +2
Int 16 +3 +6           Wis 11 +0 +0       Cha 10 +0 +0
Skills Acrobatics +7, Perception +6, Stealth +10
Resistances Poison
Gear Light Crossbow, Shortsword, Studded Leather Armor
Senses Passive Perception 16
Languages Common, Thievesâ€™ Cant
CR 8 (XP 3,900; PB +3)
Traits
Evasion. If the assassin is subjected to an effect that
allows it to make a Dexterity saving throw to take only
half damage, the assassin instead takes no damage if it
succeeds on the save and only half damage if it fails. It
canâ€™t use this trait if it has the Incapacitated condition.
Actions
Multiattack. The assassin makes three attacks, using
Shortsword or Light Crossbow in any combination.
Shortsword. Melee Attack Roll: +7, reach 5 ft. Hit: 7
(1d6 + 4) Piercing damage plus 17 (5d6) Poison dam-
age, and the target has the Poisoned condition until the
start of the assassinâ€™s next turn.
Light Crossbow. Ranged Attack Roll: +7, range
80/320 ft. Hit: 8 (1d8 + 4) Piercing damage plus 21
(6d6) Poison damage.
Bonus Actions
Cunning Action. The assassin takes the Dash, Disen-
gage, or Hide action.</t>
  </si>
  <si>
    <t>Awakened Shrub</t>
  </si>
  <si>
    <t>Awakened Plants</t>
  </si>
  <si>
    <t>Plant</t>
  </si>
  <si>
    <t>10 (3d6)</t>
  </si>
  <si>
    <t>Speed 20 ft.</t>
  </si>
  <si>
    <t>Piercing</t>
  </si>
  <si>
    <t>Fire</t>
  </si>
  <si>
    <t>Passive Perception 10</t>
  </si>
  <si>
    <t>Common plus one other language</t>
  </si>
  <si>
    <t>Awakened Shrub
Small Plant, Neutral
AC 9		                     Initiative âˆ’1 (9)
HP 10 (3d6)
Speed 20 ft.
MOD SAVE
Str 3 âˆ’4 âˆ’4
MOD SAVE
Dex 8 âˆ’1 âˆ’1
MOD SAVE
Con 11 +0 +0
Int 10 +0 +0          Wis 10 +0 +0        Cha 6 âˆ’2 âˆ’2
Vulnerabilities Fire
Resistances Piercing
Senses Passive Perception 10
Languages Common plus one other language
CR 0 (XP 10; PB +2)
Actions
Rake. Melee Attack Roll: +1, reach 5 ft. Hit: 1 Slash-
ing damage.</t>
  </si>
  <si>
    <t>Awakened Tree</t>
  </si>
  <si>
    <t>Huge</t>
  </si>
  <si>
    <t>59 (7d12 + 14)</t>
  </si>
  <si>
    <t>Bludgeoning, Piercing</t>
  </si>
  <si>
    <t>Awakened Tree
Huge Plant, Neutral
AC 13		                   Initiative âˆ’2 (8)
HP 59 (7d12 + 14)
Speed 20 ft.
MOD SAVE             MOD SAVE          MOD SAVE
Str 19 +4 +4          Dex 6 âˆ’2 âˆ’2         Con 15 +2 +2
Int 10 +0 +0          Wis 10 +0 +0        Cha 7 âˆ’2 âˆ’2
Vulnerabilities Fire
Resistances Bludgeoning, Piercing
Senses Passive Perception 10
Languages Common plus one other language
CR 2 (XP 450; PB +2)
Actions
Slam. Melee Attack Roll: +6, reach 10 ft. Hit: 14 (3d6
+ 4) Bludgeoning damage.</t>
  </si>
  <si>
    <t>Axe Beak</t>
  </si>
  <si>
    <t>19 (3d10 + 3)</t>
  </si>
  <si>
    <t>Speed 50 ft.</t>
  </si>
  <si>
    <t>Axe Beak
Large Monstrosity, Unaligned
AC 11		                   Initiative +1 (11)
HP 19 (3d10 + 3)
Speed 50 ft.
MOD SAVE             MOD SAVE          MOD SAVE
Str 14 +2 +2          Dex 12 +1 +1        Con 12 +1 +1
Int 2 âˆ’4 âˆ’4           Wis 10 +0 +0        Cha 5 âˆ’3 âˆ’3
Senses Passive Perception 10
Languages None
CR 1/4 (XP 50; PB +2)
Actions
Beak. Melee Attack Roll: +4, reach 5 ft. Hit: 6 (1d8 + 2)
Slashing damage.</t>
  </si>
  <si>
    <t>Azer Sentinel</t>
  </si>
  <si>
    <t>Azer</t>
  </si>
  <si>
    <t>Lawful Neutral</t>
  </si>
  <si>
    <t>39 (6d8 + 12)</t>
  </si>
  <si>
    <t>Fire, Poison; Poisoned</t>
  </si>
  <si>
    <t>Passive Perception 11</t>
  </si>
  <si>
    <t>Primordial (Ignan)</t>
  </si>
  <si>
    <t>Azer Sentinel
Medium Elemental, Lawful Neutral
AC 17		                    Initiative +1 (11)
HP 39 (6d8 + 12)
Speed 30 ft.
MOD SAVE            MOD SAVE            MOD SAVE
Str 17 +3 +3          Dex 12 +1 +1        Con 15 +2 +4
Int 12 +1 +1          Wis 13 +1 +1        Cha 10 +0 +0
Immunities Fire, Poison; Poisoned
Senses Passive Perception 11
Languages Primordial (Ignan)
CR 2 (XP 450; PB +2)
Traits
Fire Aura. At the end of each of the azerâ€™s turns, each
creature of the azerâ€™s choice in a 5-foot Emanation orig-
inating from the azer takes 5 (1d10) Fire damage unless
the azer has the Incapacitated condition.
Illumination. The azer sheds Bright Light in a 10-foot
radius and Dim Light for an additional 10 feet.
Actions
Burning Hammer. Melee Attack Roll: +5, reach 5 ft.
Hit: 8 (1d10 + 3) Bludgeoning damage plus 3 (1d6)
Fire damage.</t>
  </si>
  <si>
    <t>Balor</t>
  </si>
  <si>
    <t>Fiend</t>
  </si>
  <si>
    <t>Demon</t>
  </si>
  <si>
    <t>Chaotic Evil</t>
  </si>
  <si>
    <t>287 (23d12 + 138)</t>
  </si>
  <si>
    <t>Speed 40 ft., Fly 80 ft.</t>
  </si>
  <si>
    <t>Perception +9</t>
  </si>
  <si>
    <t>Cold, Lightning</t>
  </si>
  <si>
    <t>Fire, Poison; Charmed, Frightened, Poisoned</t>
  </si>
  <si>
    <t>Truesight 120 ft.; Passive Perception 19</t>
  </si>
  <si>
    <t>Abyssal; telepathy 120 ft.</t>
  </si>
  <si>
    <t>Balor
Huge Fiend (Demon), Chaotic Evil
AC 19		                    Initiative +14 (24)
HP 287 (23d12 + 138)
Speed 40 ft., Fly 80 ft.
MOD SAVE            MOD SAVE            MOD SAVE
Str 26 +8 +8          Dex 15 +2 +2        Con 22 +6 +12
Int 20 +5 +5          Wis 16 +3 +9        Cha 22 +6 +6
Skills Perception +9
Resistances Cold, Lightning
Immunities Fire, Poison; Charmed, Frightened, Poisoned
Senses Truesight 120 ft.; Passive Perception 19
Languages Abyssal; telepathy 120 ft.
CR 19 (XP 22,000; PB +6)
Traits
Death Throes. The balor explodes when it dies. Dex-
terity Saving Throw: DC 20, each creature in a 30-foot
Emanation originating from the balor. Failure: 31 (9d6)
Fire damage plus 31 (9d6) Force damage. Success: Half
damage. Failure or Success: If the balor dies outside the
Abyss, it gains a new body instantly, reviving with all its
Hit Points somewhere in the Abyss.
Fire Aura. At the end of each of the balorâ€™s turns, each
creature in a 5-foot Emanation originating from the ba-
lor takes 13 (3d8) Fire damage.
Legendary Resistance (3/Day). If the balor fails a saving
throw, it can choose to succeed instead.
Magic Resistance. The balor has Advantage on saving
throws against spells and other magical effects.
Actions
Multiattack. The balor makes one Flame Whip attack
and one Lightning Blade attack.
Flame Whip. Melee Attack Roll: +14, reach 30 ft. Hit:
18 (3d6 + 8) Force damage plus 17 (5d6) Fire damage. If
the target is a Huge or smaller creature, the balor pulls
the target up to 25 feet straight toward itself, and the
target has the Prone condition.
Lightning Blade. Melee Attack Roll: +14, reach 10 ft.
Hit: 21 (3d8 + 8) Force damage plus 22 (4d10) Light-
ning damage, and the target canâ€™t take Reactions until
the start of the balorâ€™s next turn.
Bonus Actions
Teleport. The balor teleports itself or a willing demon
within 10 feet of itself up to 60 feet to an unoccupied
space the balor can see.</t>
  </si>
  <si>
    <t>Bandit</t>
  </si>
  <si>
    <t>Bandits</t>
  </si>
  <si>
    <t>11 (2d8 + 2)</t>
  </si>
  <si>
    <t>Leather Armor, Light Crossbow, Scimitar</t>
  </si>
  <si>
    <t>Bandit
Medium or Small Humanoid, Neutral
AC 12		                   Initiative +1 (11)
HP 11 (2d8 + 2)
Speed 30 ft.
MOD SAVE           MOD SAVE            MOD SAVE
Str 11 +0 +0         Dex 12 +1 +1        Con 12 +1 +1
Int 10 +0 +0         Wis 10 +0 +0        Cha 10 +0 +0
Gear Leather Armor, Light Crossbow, Scimitar
Senses Passive Perception 10
Languages Common, Thievesâ€™ Cant
CR 1/8 (XP 25; PB +2)
Actions
Scimitar. Melee Attack Roll: +3, reach 5 ft. Hit: 4 (1d6
+ 1) Slashing damage.
Light Crossbow. Ranged Attack Roll: +3, range 80/320
ft. Hit: 5 (1d8 + 1) Piercing damage.</t>
  </si>
  <si>
    <t>Bandit Captain</t>
  </si>
  <si>
    <t>52 (8d8 + 16)</t>
  </si>
  <si>
    <t>Athletics +4, Deception +4</t>
  </si>
  <si>
    <t>Pistol, Scimitar, Studded Leather Armor</t>
  </si>
  <si>
    <t>Bandit Captain
Medium or Small Humanoid, Neutral
AC 15		                   Initiative +3 (13)
HP 52 (8d8 + 16)
Speed 30 ft.
MOD SAVE             MOD SAVE            MOD SAVE
Str 15 +2 +4         Dex 16 +3 +5         Con 14 +2 +2
Int 14 +2 +2         Wis 11 +0 +2         Cha 14 +2 +2
Skills Athletics +4, Deception +4
Gear Pistol, Scimitar, Studded Leather Armor
Senses Passive Perception 10
Languages Common, Thievesâ€™ Cant
CR 2 (XP 450; PB +2)
Actions
Multiattack. The bandit makes two attacks, using Scim-
itar and Pistol in any combination.
Scimitar. Melee Attack Roll: +5, reach 5 ft. Hit: 6 (1d6
+ 3) Slashing damage.
Pistol. Ranged Attack Roll: +5, range 30/90 ft. Hit: 8
(1d10 + 3) Piercing damage.
Reactions
Parry. Trigger: The bandit is hit by a melee attack roll
while holding a weapon. Response: The bandit adds 2
to its AC against that attack, possibly causing it to miss.</t>
  </si>
  <si>
    <t>Barbed Devil</t>
  </si>
  <si>
    <t>Devil</t>
  </si>
  <si>
    <t>110 (13d8 + 52)</t>
  </si>
  <si>
    <t>Speed 30 ft., Climb 30 ft.</t>
  </si>
  <si>
    <t>Deception +5, Insight +5, Perception +8</t>
  </si>
  <si>
    <t>Cold</t>
  </si>
  <si>
    <t>Darkvision 120 ft. (unimpeded by magical Darkness); Passive Perception 18</t>
  </si>
  <si>
    <t>Infernal; telepathy 120 ft.</t>
  </si>
  <si>
    <t>Barbed Devil
Medium Fiend (Devil), Lawful Evil
AC 15		                    Initiative +3 (13)
HP 110 (13d8 + 52)
Speed 30 ft., Climb 30 ft.
MOD SAVE             MOD SAVE            MOD SAVE
Str 16 +3 +6         Dex 17 +3 +3         Con 18 +4 +7
Int 12 +1 +1         Wis 14 +2 +5         Cha 14 +2 +5
Skills Deception +5, Insight +5, Perception +8
Resistances Cold
Immunities Fire, Poison; Poisoned
Senses Darkvision 120 ft. (unimpeded by magical
Darkness); Passive Perception 18
Languages Infernal; telepathy 120 ft.
CR 5 (XP 1,800; PB +3)
Traits
Barbed Hide. At the start of each of its turns, the devil
deals 5 (1d10) Piercing damage to any creature it is
grappling or any creature grappling it.
Diabolical Restoration. If the devil dies outside the
Nine Hells, its body disappears in sulfurous smoke, and
it gains a new body instantly, reviving with all its Hit
Points somewhere in the Nine Hells.
Magic Resistance. The devil has Advantage on saving
throws against spells and other magical effects.
Actions
Multiattack. The devil makes one Claws attack and one
Tail attack, or it makes two Hurl Flame attacks.
Claws. Melee Attack Roll: +6, reach 5 ft. Hit: 10 (2d6
+ 3) Piercing damage. If the target is a Large or smaller
creature, it has the Grappled condition (escape DC 13)
from both claws.
Tail. Melee Attack Roll: +6, reach 10 ft. Hit: 14 (2d10
+ 3) Slashing damage.
Hurl Flame. Ranged Attack Roll: +5, range 150 ft. Hit:
17 (5d6) Fire damage. If the target is a flammable object
that isnâ€™t being worn or carried, it starts burning.</t>
  </si>
  <si>
    <t>Basilisk</t>
  </si>
  <si>
    <t>Darkvision 60 ft.; Passive Perception 9</t>
  </si>
  <si>
    <t>Basilisk
Medium Monstrosity, Unaligned
AC 15		                     Initiative âˆ’1 (9)
HP 52 (8d8 + 16)
Speed 20 ft.
MOD SAVE             MOD SAVE             MOD SAVE
Str 16 +3 +3         Dex 8 âˆ’1 âˆ’1           Con 15 +2 +2
Int 2 âˆ’4 âˆ’4          Wis 8 âˆ’1 âˆ’1           Cha 7 âˆ’2 âˆ’2
Senses Darkvision 60 ft.; Passive Perception 9
Languages None
CR 3 (XP 700; PB +2)
Actions
Bite. Melee Attack Roll: +5, reach 5 ft. Hit: 10 (2d6 + 3)
Piercing damage plus 7 (2d6) Poison damage.
Bonus Actions
Petrifying Gaze (Recharge 4â€“6). Constitution Saving
Throw: DC 12, each creature in a 30-foot Cone. If
the basilisk sees its reflection in the Cone, the basilisk
must make this save. First Failure: The target has the
Restrained condition and repeats the save at the end of
its next turn if it is still Restrained, ending the effect on
itself on a success. Second Failure: The target has the
Petrified condition instead of the Restrained condition.</t>
  </si>
  <si>
    <t>Bearded Devil</t>
  </si>
  <si>
    <t>58 (9d8 + 18)</t>
  </si>
  <si>
    <t>Fire, Poison; Frightened, Poisoned</t>
  </si>
  <si>
    <t>Darkvision 120 ft. (unimpeded by magical Darkness); Passive Perception 10</t>
  </si>
  <si>
    <t>Bearded Devil
Medium Fiend (Devil), Lawful Evil
AC 13		                     Initiative +2 (12)
HP 58 (9d8 + 18)
Speed 30 ft.
MOD SAVE             MOD SAVE             MOD SAVE
Str 16 +3 +5         Dex 15 +2 +2          Con 15 +2 +4
Int 9 âˆ’1 âˆ’1          Wis 11 +0 +0          Cha 14 +2 +4
Resistances Cold
Immunities Fire, Poison; Frightened, Poisoned
Senses Darkvision 120 ft. (unimpeded by magical
Darkness); Passive Perception 10
Languages Infernal; telepathy 120 ft.
CR 3 (XP 700; PB +2)
Traits
Magic Resistance. The devil has Advantage on saving
throws against spells and other magical effects.
Actions
Multiattack. The devil makes one Beard attack and one
Infernal Glaive attack.
Beard. Melee Attack Roll: +5, reach 5 ft. Hit: 7 (1d8
+ 3) Piercing damage, and the target has the Poisoned
condition until the start of the devilâ€™s next turn. Until
this poison ends, the target canâ€™t regain Hit Points.
Infernal Glaive. Melee Attack Roll: +5, reach 10 ft. Hit:
8 (1d10 + 3) Slashing damage. If the target is a crea-
ture and doesnâ€™t already have an infernal wound, it is
subjected to the following effect. Constitution Saving
Throw: DC 12. Failure: The target receives an infernal
wound. While wounded, the target loses 5 (1d10) Hit
Points at the start of each of its turns. The wound closes
after 1 minute, after a spell restores Hit Points to the
target, or after the target or a creature within 5 feet of it
takes an action to stanch the wound, doing so by suc-
ceeding on a DC 12 Wisdom (Medicine) check.</t>
  </si>
  <si>
    <t>Behir</t>
  </si>
  <si>
    <t>Neutral Evil</t>
  </si>
  <si>
    <t>168 (16d12 + 64)</t>
  </si>
  <si>
    <t>Speed 50 ft., Climb 50 ft.</t>
  </si>
  <si>
    <t>Perception +6, Stealth +7</t>
  </si>
  <si>
    <t>Lightning</t>
  </si>
  <si>
    <t>Darkvision 90 ft.; Passive Perception 16</t>
  </si>
  <si>
    <t>Draconic</t>
  </si>
  <si>
    <t>Behir
Huge Monstrosity, Neutral Evil
AC 17		                    Initiative +3 (13)
HP 168 (16d12 + 64)
Speed 50 ft., Climb 50 ft.
MOD SAVE             MOD SAVE             MOD SAVE
Str 23 +6 +6         Dex 16 +3 +3         Con 18 +4 +4
Int 7 âˆ’2 âˆ’2          Wis 14 +2 +2         Cha 12 +1 +1
Skills Perception +6, Stealth +7
Immunities Lightning
Senses Darkvision 90 ft.; Passive Perception 16
Languages Draconic
CR 11 (XP 7,200; PB +4)
Actions
Multiattack. The behir makes one Bite attack and uses
Constrict.
Bite. Melee Attack Roll: +10, reach 10 ft. Hit: 19 (2d12
+ 6) Piercing damage plus 11 (2d10) Lightning damage.
Constrict. Strength Saving Throw: DC 18, one Large or
smaller creature the behir can see within 5 feet. Failure:
28 (5d8 + 6) Bludgeoning damage. The target has the
Grappled condition (escape DC 16), and it has the Re-
strained condition until the grapple ends.
Lightning Breath (Recharge 5â€“6). Dexterity Saving
Throw: DC 16, each creature in a 90-foot-long, 5-foot-
wide Line. Failure: 66 (12d10) Lightning damage. Suc-
cess: Half damage.
Bonus Actions
Swallow. Dexterity Saving Throw: DC 18, one Large or
smaller creature Grappled by the behir (the behir can
have only one creature swallowed at a time). Failure:
The behir swallows the target, which is no longer Grap-
pled. While swallowed, a creature has the Blinded and
Restrained conditions, has Total Cover against attacks
and other effects outside the behir, and takes 21 (6d6)
Acid damage at the start of each of the behirâ€™s turns.
If the behir takes 30 damage or more on a single turn
from the swallowed creature, the behir must succeed
on a DC 14 Constitution saving throw at the end of that
turn or regurgitate the creature, which falls in a space
within 10 feet of the behir and has the Prone condition.
If the behir dies, a swallowed creature is no longer Re-
strained and can escape from the corpse by using 15
feet of movement, exiting Prone.</t>
  </si>
  <si>
    <t>Berserker</t>
  </si>
  <si>
    <t>67 (9d8 + 27)</t>
  </si>
  <si>
    <t>Greataxe, Hide Armor</t>
  </si>
  <si>
    <t>Common</t>
  </si>
  <si>
    <t>Berserker
Medium or Small Humanoid, Neutral
AC 13		                     Initiative +1 (11)
HP 67 (9d8 + 27)
Speed 30 ft.
MOD SAVE              MOD SAVE          MOD SAVE
Str 16 +3 +3          Dex 12 +1 +1         Con 17 +3 +3
Int 9 âˆ’1 âˆ’1           Wis 11 +0 +0         Cha 9 âˆ’1 âˆ’1
Gear Greataxe, Hide Armor
Senses Passive Perception 10
Languages Common
CR 2 (XP 450; PB +2)
Traits
Bloodied Frenzy. While Bloodied, the berserker has
Advantage on attack rolls and saving throws.
Actions
Greataxe. Melee Attack Roll: +5, reach 5 ft. Hit: 9
(1d12 + 3) Slashing damage.</t>
  </si>
  <si>
    <t>Black Dragon Wyrmling</t>
  </si>
  <si>
    <t>Black Dragons</t>
  </si>
  <si>
    <t>Dragon</t>
  </si>
  <si>
    <t>Chromatic</t>
  </si>
  <si>
    <t>Speed 30 ft., Fly 60 ft., Swim 30 ft.</t>
  </si>
  <si>
    <t>Perception +4, Stealth +4</t>
  </si>
  <si>
    <t>Acid</t>
  </si>
  <si>
    <t>Blindsight 10 ft., Darkvision 60 ft.; Passive Perception 14</t>
  </si>
  <si>
    <t>Black Dragon Wyrmling
Medium Dragon (Chromatic), Chaotic Evil
AC 17		                      Initiative +4 (14)
HP 33 (6d8 + 6)
Speed 30 ft., Fly 60 ft., Swim 30 ft.
MOD SAVE
Str 15 +2 +2
MOD SAVE
Dex 14 +2 +4
MOD SAVE
Con 13 +1 +1
Int 10 +0 +0          Wis 11 +0 +2         Cha 13 +1 +1
Skills Perception +4, Stealth +4
Immunities Acid
Senses Blindsight 10 ft., Darkvision 60 ft.;
Passive Perception 14
Languages Draconic
CR 2 (XP 450; PB +2)
Traits
Amphibious. The dragon can breathe air and water.
Actions
Multiattack. The dragon makes two Rend attacks.
Rend. Melee Attack Roll: +4, reach 5 ft. Hit: 5 (1d6 + 2)
Slashing damage plus 2 (1d4) Acid damage.
Acid Breath (Recharge 5â€“6). Dexterity Saving Throw:
DC 11, each creature in a 15-foot-long, 5-foot-
wide Line. Failure: 22 (5d8) Acid damage. Success:
Half damage.</t>
  </si>
  <si>
    <t>Young Black Dragon</t>
  </si>
  <si>
    <t>127 (15d10 + 45)</t>
  </si>
  <si>
    <t>Speed 40 ft., Fly 80 ft., Swim 40 ft.</t>
  </si>
  <si>
    <t>Perception +6, Stealth +5</t>
  </si>
  <si>
    <t>Blindsight 30 ft., Darkvision 120 ft.; Passive Perception 16</t>
  </si>
  <si>
    <t>Common, Draconic</t>
  </si>
  <si>
    <t>Young Black Dragon
Large Dragon (Chromatic), Chaotic Evil
AC 18		                      Initiative +5 (15)
HP 127 (15d10 + 45)
Speed 40 ft., Fly 80 ft., Swim 40 ft.
MOD SAVE              MOD SAVE          MOD SAVE
Str 19 +4 +4          Dex 14 +2 +5         Con 17 +3 +3
Int 12 +1 +1          Wis 11 +0 +3         Cha 15 +2 +2
Skills Perception +6, Stealth +5
Immunities Acid
Senses Blindsight 30 ft., Darkvision 120 ft.;
Passive Perception 16
Languages Common, Draconic
CR 7 (XP 2,900; PB +3)
Traits
Amphibious. The dragon can breathe air and water.
Actions
Multiattack. The dragon makes three Rend attacks.
Rend. Melee Attack Roll: +7, reach 10 ft. Hit: 9 (2d4
+ 4) Slashing damage plus 3 (1d6) Acid damage.
Acid Breath (Recharge 5â€“6). Dexterity Saving Throw:
DC 14, each creature in a 30-foot-long, 5-foot-
wide Line. Failure: 49 (14d6) Acid damage. Success:
Half damage.</t>
  </si>
  <si>
    <t>Adult Black Dragon</t>
  </si>
  <si>
    <t>195 (17d12 + 85)</t>
  </si>
  <si>
    <t>Perception +11, Stealth +7</t>
  </si>
  <si>
    <t>Blindsight 60 ft., Darkvision 120 ft.; Passive Perception 21</t>
  </si>
  <si>
    <t>Adult Black Dragon
Huge Dragon (Chromatic), Chaotic Evil
AC 19		                      Initiative +12 (22)
HP 195 (17d12 + 85)
Speed 40 ft., Fly 80 ft., Swim 40 ft.
MOD SAVE              MOD SAVE           MOD SAVE
Str 23 +6 +6          Dex 14 +2 +7         Con 21 +5 +5
Int 14 +2 +2          Wis 13 +1 +6         Cha 19 +4 +4
Skills Perception +11, Stealth +7
Immunities Acid
Senses Blindsight 60 ft., Darkvision 120 ft.;
Passive Perception 21
Languages Common, Draconic
CR 14 (XP 11,500, or 13,000 in lair; PB +5)
Traits
Amphibious. The dragon can breathe air and water.
Legendary Resistance (3/Day, or 4/Day in Lair). If
the dragon fails a saving throw, it can choose to suc-
ceed instead.
Actions
Multiattack. The dragon makes three Rend attacks. It
can replace one attack with a use of Spellcasting to cast
Acid Arrow (level 3 version).
Rend. Melee Attack Roll: +11, reach 10 ft. Hit: 13 (2d6
+ 6) Slashing damage plus 4 (1d8) Acid damage.
Acid Breath (Recharge 5â€“6). Dexterity Saving Throw:
DC 18, each creature in a 60-foot-long, 5-foot-
wide Line. Failure: 54 (12d8) Acid damage. Success:
Half damage.
Spellcasting. The dragon casts one of the following
spells, requiring no Material components and using
Charisma as the spellcasting ability (spell save DC 17,
+9 to hit with spell attacks):
At Will: Acid Arrow (level 3 version), Detect Magic, Fear
1/Day Each: Speak with Dead, Vitriolic Sphere
Legendary Actions
Legendary Action Uses: 3 (4 in Lair). Immediately after
another creatureâ€™s turn, the dragon can expend a use to
take one of the following actions. The dragon regains all
expended uses at the start of each of its turns.
Cloud of Insects. Dexterity Saving Throw: DC 17, one
creature the dragon can see within 120 feet. Failure: 22
(4d10) Poison damage, and the target has Disadvantage
on saving throws to maintain Concentration until the
end of its next turn. Failure or Success: The dragon canâ€™t
take this action again until the start of its next turn.
Frightful Presence. The dragon uses Spellcasting to cast
Fear. The dragon canâ€™t take this action again until the
start of its next turn.
Pounce. The dragon moves up to half its Speed, and it
makes one Rend attack.</t>
  </si>
  <si>
    <t>Ancient Black Dragon</t>
  </si>
  <si>
    <t>Gargantuan</t>
  </si>
  <si>
    <t>367 (21d20 + 147)</t>
  </si>
  <si>
    <t>Perception +16, Stealth +9</t>
  </si>
  <si>
    <t>Blindsight 60 ft., Darkvision 120 ft.; Passive Perception 26</t>
  </si>
  <si>
    <t>Ancient Black Dragon
Gargantuan Dragon (Chromatic), Chaotic Evil
AC 22		                      Initiative +16 (26)
HP 367 (21d20 + 147)
Speed 40 ft., Fly 80 ft., Swim 40 ft.
MOD SAVE              MOD SAVE           MOD SAVE
Str 27 +8 +8          Dex 14 +2 +9         Con 25 +7 +7
Int 16 +3 +3          Wis 15 +2 +9         Cha 22 +6 +6
Skills Perception +16, Stealth +9
Immunities Acid
Senses Blindsight 60 ft., Darkvision 120 ft.;
Passive Perception 26
Languages Common, Draconic
CR 21 (XP 33,000, or 41,000 in lair; PB +7)
Traits
Amphibious. The dragon can breathe air and water.
Legendary Resistance (4/Day, or 5/Day in Lair). If
the dragon fails a saving throw, it can choose to suc-
ceed instead.
Actions
Multiattack. The dragon makes three Rend attacks. It
can replace one attack with a use of Spellcasting to cast
Acid Arrow (level 4 version).
Rend. Melee Attack Roll: +15, reach 15 ft. Hit: 17 (2d8
+ 8) Slashing damage plus 9 (2d8) Acid damage.
Acid Breath (Recharge 5â€“6). Dexterity Saving Throw:
DC 22, each creature in a 90-foot-long, 10-foot-
wide Line. Failure: 67 (15d8) Acid damage. Success:
Half damage.
Spellcasting. The dragon casts one of the following
spells, requiring no Material components and using
Charisma as the spellcasting ability (spell save DC 21,
+13 to hit with spell attacks):
At Will: Acid Arrow (level 4 version), Detect
Magic, Fear
1/Day Each: Create Undead, Speak with Dead, Vitriolic
Sphere (level 5 version)
Legendary Actions
Legendary Action Uses: 3 (4 in Lair). Immediately after
another creatureâ€™s turn, the dragon can expend a use to
take one of the following actions. The dragon regains all
expended uses at the start of each of its turns.
Cloud of Insects. Dexterity Saving Throw: DC 21, one
creature the dragon can see within 120 feet. Failure: 33
(6d10) Poison damage, and the target has Disadvantage
on saving throws to maintain Concentration until the
end of its next turn. Failure or Success: The dragon canâ€™t
take this action again until the start of its next turn.
Frightful Presence. The dragon uses Spellcasting to cast
Fear. The dragon canâ€™t take this action again until the
start of its next turn.
Pounce. The dragon moves up to half its Speed, and it
makes one Rend attack.</t>
  </si>
  <si>
    <t>Black Pudding</t>
  </si>
  <si>
    <t>Ooze</t>
  </si>
  <si>
    <t>68 (8d10 + 24)</t>
  </si>
  <si>
    <t>Speed 20 ft., Climb 20 ft.</t>
  </si>
  <si>
    <t>Acid, Cold, Lightning, Slashing; Charmed, Deafened, Exhaustion, Frightened, Grappled, Prone, Restrained</t>
  </si>
  <si>
    <t>Blindsight 60 ft.; Passive Perception 8</t>
  </si>
  <si>
    <t>Black Pudding
Large Ooze, Unaligned
AC 7		                     Initiative âˆ’3 (7)
HP 68 (8d10 + 24)
Speed 20 ft., Climb 20 ft.
MOD SAVE             MOD SAVE          MOD SAVE
Str 16 +3 +3         Dex 5 âˆ’3 âˆ’3          Con 16 +3 +3
Int 1 âˆ’5 âˆ’5          Wis 6 âˆ’2 âˆ’2          Cha 1 âˆ’5 âˆ’5
Immunities Acid, Cold, Lightning, Slashing; Charmed,
Deafened, Exhaustion, Frightened, Grappled, Prone,
Restrained
Senses Blindsight 60 ft.; Passive Perception 8
Languages None
CR 4 (XP 1,100; PB +2)
Traits
Amorphous. The pudding can move through a space
as narrow as 1 inch without expending extra move-
ment to do so.
Corrosive Form. A creature that hits the pudding with a
melee attack roll takes 4 (1d8) Acid damage. Nonmag-
ical ammunition is destroyed immediately after hitting
the pudding and dealing any damage. Any nonmagical
weapon takes a cumulative âˆ’1 penalty to attack rolls
immediately after dealing damage to the pudding and
coming into contact with it. The weapon is destroyed if
the penalty reaches âˆ’5. The penalty can be removed by
casting the Mending spell on the weapon.
In 1 minute, the pudding can eat through 2 feet of
nonmagical wood or metal.
Spider Climb. The pudding can climb difficult surfaces,
including along ceilings, without needing to make an
ability check.
Actions
Dissolving Pseudopod. Melee Attack Roll: +5, reach
10 ft. Hit: 17 (4d6 + 3) Acid damage. Nonmagical ar-
mor worn by the target takes a âˆ’1 penalty to the AC it
offers. The armor is destroyed if the penalty reduces its
AC to 10. The penalty can be removed by casting the
Mending spell on the armor.
Reactions
Split. Trigger: While the pudding is Large or Medium
and has 10+ Hit Points, it becomes Bloodied or is sub-
jected to Lightning or Slashing damage. Response: The
pudding splits into two new Black Puddings. Each new
pudding is one size smaller than the original pudding
and acts on its Initiative. The original puddingâ€™s Hit
Points are divided evenly between the new puddings
(round down).</t>
  </si>
  <si>
    <t>Blink Dog</t>
  </si>
  <si>
    <t>Fey</t>
  </si>
  <si>
    <t>Lawful Good</t>
  </si>
  <si>
    <t>22 (4d8 + 4)</t>
  </si>
  <si>
    <t>Speed 40 ft.</t>
  </si>
  <si>
    <t>Perception +5, Stealth +5</t>
  </si>
  <si>
    <t>Darkvision 60 ft.; Passive Perception 15</t>
  </si>
  <si>
    <t>Blink Dog; understands Elvish and Sylvan but canâ€™t speak them</t>
  </si>
  <si>
    <t>Blink Dog
Medium Fey, Lawful Good
AC 13		                     Initiative +3 (13)
HP 22 (4d8 + 4)
Speed 40 ft.
MOD SAVE             MOD SAVE          MOD SAVE
Str 12 +1 +1         Dex 17 +3 +3          Con 12 +1 +1
Int 10 +0 +0         Wis 13 +1 +1          Cha 11 +0 +0
Skills Perception +5, Stealth +5
Senses Darkvision 60 ft.; Passive Perception 15
Languages Blink Dog; understands Elvish and Sylvan but
canâ€™t speak them
CR 1/4 (XP 50; PB +2)
Actions
Bite. Melee Attack Roll: +5, reach 5 ft. Hit: 5 (1d4 + 3)
Piercing damage.
Bonus Actions
Teleport (Recharge 4â€“6). The dog teleports up to 40
feet to an unoccupied space it can see.</t>
  </si>
  <si>
    <t>Blue Dragon Wyrmling</t>
  </si>
  <si>
    <t>Blue Dragons</t>
  </si>
  <si>
    <t>65 (10d8 + 20)</t>
  </si>
  <si>
    <t>Speed 30 ft., Burrow 15 ft., Fly 60 ft.</t>
  </si>
  <si>
    <t>Perception +4, Stealth +2</t>
  </si>
  <si>
    <t>Blue Dragon Wyrmling
Medium Dragon (Chromatic), Lawful Evil
AC 17		                     Initiative +2 (12)
HP 65 (10d8 + 20)
Speed 30 ft., Burrow 15 ft., Fly 60 ft.
MOD SAVE             MOD SAVE          MOD SAVE
Str 17 +3 +3         Dex 10 +0 +2          Con 15 +2 +2
Int 12 +1 +1         Wis 11 +0 +2          Cha 15 +2 +2
Skills Perception +4, Stealth +2
Immunities Lightning
Senses Blindsight 10 ft., Darkvision 60 ft.;
Passive Perception 14
Languages Draconic
CR 3 (XP 700; PB +2)
Actions
Multiattack. The dragon makes two Rend attacks.
Rend. Melee Attack Roll: +5, reach 5 ft. Hit: 8 (1d10
+ 3) Slashing damage plus 3 (1d6) Lightning damage.
Lightning Breath (Recharge 5â€“6). Dexterity Saving
Throw: DC 12, each creature in a 30-foot-long, 5-foot-
wide Line. Failure: 21 (6d6) Lightning damage. Success:
Half damage.</t>
  </si>
  <si>
    <t>Young Blue Dragon</t>
  </si>
  <si>
    <t>152 (16d10 + 64)</t>
  </si>
  <si>
    <t>Speed 40 ft., Burrow 20 ft., Fly 80 ft.</t>
  </si>
  <si>
    <t>Perception +9, Stealth +4</t>
  </si>
  <si>
    <t>Blindsight 30 ft., Darkvision 120 ft.; Passive Perception 19</t>
  </si>
  <si>
    <t>Young Blue Dragon
Large Dragon (Chromatic), Lawful Evil
AC 18		                    Initiative +4 (14)
HP 152 (16d10 + 64)
Speed 40 ft., Burrow 20 ft., Fly 80 ft.
MOD SAVE             MOD SAVE          MOD SAVE
Str 21 +5 +5         Dex 10 +0 +4         Con 19 +4 +4
Int 14 +2 +2         Wis 13 +1 +5         Cha 17 +3 +3
Skills Perception +9, Stealth +4
Immunities Lightning
Senses Blindsight 30 ft., Darkvision 120 ft.;
Passive Perception 19
Languages Common, Draconic
CR 9 (XP 5,000; PB +4)
Actions
Multiattack. The dragon makes three Rend attacks.
Rend. Melee Attack Roll: +9, reach 10 ft. Hit: 12 (2d6
+ 5) Slashing damage plus 5 (1d10) Lightning damage.
Lightning Breath (Recharge 5â€“6). Dexterity Saving
Throw: DC 16, each creature in a 60-foot-long, 5-foot-
wide Line. Failure: 55 (10d10) Lightning damage. Suc-
cess: Half damage.</t>
  </si>
  <si>
    <t>Adult Blue Dragon</t>
  </si>
  <si>
    <t>212 (17d12 + 102)</t>
  </si>
  <si>
    <t>Speed 40 ft., Burrow 30 ft., Fly 80 ft.</t>
  </si>
  <si>
    <t>Perception +12, Stealth +5</t>
  </si>
  <si>
    <t>Blindsight 60 ft., Darkvision 120 ft.; Passive Perception 22</t>
  </si>
  <si>
    <t>Adult Blue Dragon
Huge Dragon (Chromatic), Lawful Evil
AC 19		                    Initiative +10 (20)
HP 212 (17d12 + 102)
Speed 40 ft., Burrow 30 ft., Fly 80 ft.
MOD SAVE             MOD SAVE          MOD SAVE
Str 25 +7 +7         Dex 10 +0 +5         Con 23 +6 +6
Int 16 +3 +3         Wis 15 +2 +7         Cha 20 +5 +5
Skills Perception +12, Stealth +5
Immunities Lightning
Senses Blindsight 60 ft., Darkvision 120 ft.;
Passive Perception 22
Languages Common, Draconic
CR 16 (XP 15,000, or 18,000 in lair; PB +5)
Traits
Legendary Resistance (3/Day, or 4/Day in Lair). If
the dragon fails a saving throw, it can choose to suc-
ceed instead.
Actions
Multiattack. The dragon makes three Rend attacks. It
can replace one attack with a use of Spellcasting to
cast Shatter.
Rend. Melee Attack Roll: +12, reach 10 ft. Hit: 16 (2d8
+ 7) Slashing damage plus 5 (1d10) Lightning damage.
Lightning Breath (Recharge 5â€“6). Dexterity Saving
Throw: DC 19, each creature in a 90-foot-long, 5-foot-
wide Line. Failure: 60 (11d10) Lightning damage. Suc-
cess: Half damage.
Spellcasting. The dragon casts one of the following
spells, requiring no Material components and using
Charisma as the spellcasting ability (spell save DC 18):
At Will: Detect Magic, Invisibility, Mage Hand, Shatter
1/Day Each: Scrying, Sending
Legendary Actions
Legendary Action Uses: 3 (4 in Lair). Immediately after
another creatureâ€™s turn, the dragon can expend a use to
take one of the following actions. The dragon regains all
expended uses at the start of each of its turns.
Cloaked Flight. The dragon uses Spellcasting to cast In-
visibility on itself, and it can fly up to half its Fly Speed.
The dragon canâ€™t take this action again until the start of
its next turn.
Sonic Boom. The dragon uses Spellcasting to cast Shat-
ter. The dragon canâ€™t take this action again until the
start of its next turn.
Tail Swipe. The dragon makes one Rend attack.</t>
  </si>
  <si>
    <t>Ancient Blue Dragon</t>
  </si>
  <si>
    <t>481 (26d20 + 208)</t>
  </si>
  <si>
    <t>Speed 40 ft., Burrow 40 ft., Fly 80 ft.</t>
  </si>
  <si>
    <t>Perception +17, Stealth +7</t>
  </si>
  <si>
    <t>Blindsight 60 ft., Darkvision 120 ft.; Passive Perception 27</t>
  </si>
  <si>
    <t>Ancient Blue Dragon
Gargantuan Dragon (Chromatic), Lawful Evil
AC 22		                    Initiative +14 (24)
HP 481 (26d20 + 208)
Speed 40 ft., Burrow 40 ft., Fly 80 ft.
MOD SAVE              MOD SAVE             MOD SAVE
Str 29 +9 +9          Dex 10 +0 +7 Con 27 +8 +8
Int 18 +4 +4          Wis 17 +3 +10 Cha 25 +7 +7
Skills Perception +17, Stealth +7
Immunities Lightning
Senses Blindsight 60 ft., Darkvision 120 ft.;
Passive Perception 27
Languages Common, Draconic
CR 23 (XP 50,000, or 62,000 in lair; PB +7)
Traits
Legendary Resistance (4/Day, or 5/Day in Lair). If
the dragon fails a saving throw, it can choose to suc-
ceed instead.
Actions
Multiattack. The dragon makes three Rend attacks. It
can replace one attack with a use of Spellcasting to cast
Shatter (level 3 version).
Rend. Melee Attack Roll: +16, reach 15 ft. Hit: 18 (2d8
+ 9) Slashing damage plus 11 (2d10) Lightning damage.
Lightning Breath (Recharge 5â€“6). Dexterity Saving
Throw: DC 23, each creature in a 120-foot-long,
10-foot-wide Line. Failure: 88 (16d10) Lightning dam-
age. Success: Half damage.
Spellcasting. The dragon casts one of the following
spells, requiring no Material components and using
Charisma as the spellcasting ability (spell save DC 22):
At Will: Detect Magic, Invisibility, Mage Hand, Shatter
(level 3 version)
1/Day Each: Scrying, Sending
Legendary Actions
Legendary Action Uses: 3 (4 in Lair). Immediately after
another creatureâ€™s turn, the dragon can expend a use to
take one of the following actions. The dragon regains all
expended uses at the start of each of its turns.
Cloaked Flight. The dragon uses Spellcasting to cast In-
visibility on itself, and it can fly up to half its Fly Speed.
The dragon canâ€™t take this action again until the start of
its next turn.
Sonic Boom. The dragon uses Spellcasting to cast Shat-
ter (level 3 version). The dragon canâ€™t take this action
again until the start of its next turn.
Tail Swipe. The dragon makes one Rend attack.</t>
  </si>
  <si>
    <t>Bone Devil</t>
  </si>
  <si>
    <t>161 (17d10 + 68)</t>
  </si>
  <si>
    <t>Speed 40 ft., Fly 40 ft.</t>
  </si>
  <si>
    <t>Deception +7, Insight +6</t>
  </si>
  <si>
    <t>Darkvision 120 ft. (unimpeded by magical Darkness); Passive Perception 12</t>
  </si>
  <si>
    <t>Bone Devil
Large Fiend (Devil), Lawful Evil
AC 16		                     Initiative +7 (17)
HP 161 (17d10 + 68)
Speed 40 ft., Fly 40 ft.
MOD SAVE              MOD SAVE             MOD SAVE
Str 18 +4 +8          Dex 16 +3 +3         Con 18 +4 +4
Int 13 +1 +5          Wis 14 +2 +6         Cha 16 +3 +7
Skills Deception +7, Insight +6
Resistances Cold
Immunities Fire, Poison; Poisoned
Senses Darkvision 120 ft. (unimpeded by magical
Darkness); Passive Perception 12
Languages Infernal; telepathy 120 ft.
CR 9 (XP 5,000; PB +4)
Traits
Diabolical Restoration. If the devil dies outside the
Nine Hells, its body disappears in sulfurous smoke, and
it gains a new body instantly, reviving with all its Hit
Points somewhere in the Nine Hells.
Magic Resistance. The devil has Advantage on saving
throws against spells and other magical effects.
Actions
Multiattack. The devil makes two Claw attacks and one
Infernal Sting attack.
Claw. Melee Attack Roll: +8, reach 10 ft. Hit: 13 (2d8
+ 4) Slashing damage.
Infernal Sting. Melee Attack Roll: +8, reach 10 ft. Hit:
15 (2d10 + 4) Piercing damage plus 18 (4d8) Poison
damage, and the target has the Poisoned condition until
the start of the devilâ€™s next turn. While Poisoned, the
target canâ€™t regain Hit Points.</t>
  </si>
  <si>
    <t>Brass Dragon Wyrmling</t>
  </si>
  <si>
    <t>Brass Dragons</t>
  </si>
  <si>
    <t>Metallic</t>
  </si>
  <si>
    <t>Chaotic Good</t>
  </si>
  <si>
    <t>Brass Dragon Wyrmling
Medium Dragon (Metallic), Chaotic Good
AC 15		                     Initiative +2 (12)
HP 22 (4d8 + 4)
Speed 30 ft., Burrow 15 ft., Fly 60 ft.
MOD SAVE             MOD SAVE           MOD SAVE
Str 15 +2 +2         Dex 10 +0 +2          Con 13 +1 +1
Int 10 +0 +0         Wis 11 +0 +2          Cha 13 +1 +1
Skills Perception +4, Stealth +2
Immunities Fire
Senses Blindsight 10 ft., Darkvision 60 ft.;
Passive Perception 14
Languages Draconic
CR 1 (XP 200; PB +2)
Actions
Rend. Melee Attack Roll: +4, reach 5 ft. Hit: 7 (1d10
+ 2) Slashing damage.
Fire Breath (Recharge 5â€“6). Dexterity Saving Throw:
DC 11, each creature in a 20-foot-long, 5-foot-
wide Line. Failure: 14 (4d6) Fire damage. Success:
Half damage.
Sleep Breath. Constitution Saving Throw: DC 11, each
creature in a 15-foot Cone. Failure: The target has the
Incapacitated condition until the end of its next turn,
at which point it repeats the save. Second Failure: The
target has the Unconscious condition for 1 minute. This
effect ends for the target if it takes damage or a creature
within 5 feet of it takes an action to wake it.</t>
  </si>
  <si>
    <t>Young Brass Dragon</t>
  </si>
  <si>
    <t>110 (13d10 + 39)</t>
  </si>
  <si>
    <t>Perception +6, Persuasion +5, Stealth +3</t>
  </si>
  <si>
    <t>Young Brass Dragon
Large Dragon (Metallic), Chaotic Good
AC 17		                    Initiative +3 (13)
HP 110 (13d10 + 39)
Speed 40 ft., Burrow 20 ft., Fly 80 ft.
MOD SAVE             MOD SAVE           MOD SAVE
Str 19 +4 +4         Dex 10 +0 +3          Con 17 +3 +3
Int 12 +1 +1         Wis 11 +0 +3          Cha 15 +2 +2
Skills Perception +6, Persuasion +5, Stealth +3
Immunities Fire
Senses Blindsight 30 ft., Darkvision 120 ft.;
Passive Perception 16
Languages Common, Draconic
CR 6 (XP 2,300; PB +3)
Actions
Multiattack. The dragon makes three Rend attacks. It
can replace two attacks with a use of Sleep Breath.
Rend. Melee Attack Roll: +7, reach 10 ft. Hit: 15 (2d10
+ 4) Slashing damage.
Fire Breath (Recharge 5â€“6). Dexterity Saving Throw:
DC 14, each creature in a 40-foot-long, 5-foot-
wide Line. Failure: 38 (11d6) Fire damage. Success:
Half damage.
Sleep Breath. Constitution Saving Throw: DC 14, each
creature in a 30-foot Cone. Failure: The target has the
Incapacitated condition until the end of its next turn,
at which point it repeats the save. Second Failure: The
target has the Unconscious condition for 1 minute. This
effect ends for the target if it takes damage or a creature
within 5 feet of it takes an action to wake it.</t>
  </si>
  <si>
    <t>Adult Brass Dragon</t>
  </si>
  <si>
    <t>172 (15d12 + 75)</t>
  </si>
  <si>
    <t>History +7, Perception +11, Persuasion +8, Stealth +5</t>
  </si>
  <si>
    <t>Adult Brass Dragon
Huge Dragon (Metallic), Chaotic Good
AC 18		                    Initiative +10 (20)
HP 172 (15d12 + 75)
Speed 40 ft., Burrow 30 ft., Fly 80 ft.
MOD SAVE            MOD SAVE             MOD SAVE
Str 23 +6 +6         Dex 10 +0 +5        Con 21 +5 +5
Int 14 +2 +2         Wis 13 +1 +6        Cha 17 +3 +3
Skills History +7, Perception +11, Persuasion +8, Stealth +5
Immunities Fire
Senses Blindsight 60 ft., Darkvision 120 ft.;
Passive Perception 21
Languages Common, Draconic
CR 13 (XP 10,000, or 11,500 in lair; PB +5)
Traits
Legendary Resistance (3/Day, or 4/Day in Lair). If
the dragon fails a saving throw, it can choose to suc-
ceed instead.
Actions
Multiattack. The dragon makes three Rend attacks. It
can replace one attack with a use of (A) Sleep Breath or
(B) Spellcasting to cast Scorching Ray.
Rend. Melee Attack Roll: +11, reach 10 ft. Hit: 17 (2d10
+ 6) Slashing damage plus 4 (1d8) Fire damage.
Fire Breath (Recharge 5â€“6). Dexterity Saving Throw:
DC 18, each creature in a 60-foot-long, 5-foot-
wide Line. Failure: 45 (10d8) Fire damage. Success:
Half damage.
Sleep Breath. Constitution Saving Throw: DC 18, each
creature in a 60-foot Cone. Failure: The target has the
Incapacitated condition until the end of its next turn, at
which point it repeats the save. Second Failure: The tar-
get has the Unconscious condition for 10 minutes. This
effect ends for the target if it takes damage or a creature
within 5 feet of it takes an action to wake it.
Spellcasting. The dragon casts one of the following
spells, requiring no Material components and using
Charisma as the spellcasting ability (spell save DC 16):
At Will: Detect Magic, Minor Illusion, Scorching Ray,
Shapechange (Beast or Humanoid form only, no
Temporary Hit Points gained from the spell, and no
Concentration or Temporary Hit Points required to
maintain the spell), Speak with Animals
1/Day Each: Detect Thoughts, Control Weather
Legendary Actions
Legendary Action Uses: 3 (4 in Lair). Immediately after
another creatureâ€™s turn, the dragon can expend a use to
take one of the following actions. The dragon regains all
expended uses at the start of each of its turns.
Blazing Light. The dragon uses Spellcasting to cast
Scorching Ray.
Pounce. The dragon moves up to half its Speed, and it
makes one Rend attack.
Scorching Sands. Dexterity Saving Throw: DC 16, one
creature the dragon can see within 120 feet. Failure:
27 (6d8) Fire damage, and the targetâ€™s Speed is halved
until the end of its next turn. Failure or Success: The
dragon canâ€™t take this action again until the start of its
next turn.</t>
  </si>
  <si>
    <t>Ancient Brass Dragon</t>
  </si>
  <si>
    <t>332 (19d20 + 133)</t>
  </si>
  <si>
    <t>History +9, Perception +14, Persuasion +12, Stealth +6</t>
  </si>
  <si>
    <t>Blindsight 60 ft., Darkvision 120 ft.; Passive Perception 24</t>
  </si>
  <si>
    <t>Ancient Brass Dragon
Gargantuan Dragon (Metallic), Chaotic Good
AC 20 		                   Initiative +12 (22)
HP 332 (19d20 + 133)
Speed 40 ft., Burrow 40 ft., Fly 80 ft.
MOD SAVE            MOD SAVE             MOD SAVE
Str 27 +8 +8         Dex 10 +0 +6        Con 25 +7 +7
Int 16 +3 +3         Wis 15 +2 +8        Cha 22 +6 +6
Skills History +9, Perception +14, Persuasion +12, Stealth
+6
Immunities Fire
Senses Blindsight 60 ft., Darkvision 120 ft.;
Passive Perception 24
Languages Common, Draconic
CR 20 (XP 25,000, or 33,000 in lair; PB +6)
Traits
Legendary Resistance (4/Day, or 5/Day in Lair). If
the dragon fails a saving throw, it can choose to suc-
ceed instead.
Actions
Multiattack. The dragon makes three Rend attacks. It
can replace one attack with a use of (A) Sleep Breath or
(B) Spellcasting to cast Scorching Ray (level 3 version).
Rend. Melee Attack Roll: +14, reach 15 ft. Hit: 19 (2d10
+ 8) Slashing damage plus 7 (2d6) Fire damage.
Fire Breath (Recharge 5â€“6). Dexterity Saving Throw:
DC 21, each creature in a 90-foot-long, 5-foot-
wide Line. Failure: 58 (13d8) Fire damage. Success:
Half damage.
Sleep Breath. Constitution Saving Throw: DC 21, each
creature in a 90-foot Cone. Failure: The target has the
Incapacitated condition until the end of its next turn, at
which point it repeats the save. Second Failure: The tar-
get has the Unconscious condition for 10 minutes. This
effect ends for the target if it takes damage or a creature
within 5 feet of it takes an action to wake it.
Spellcasting. The dragon casts one of the following
spells, requiring no Material components and using
Charisma as the spellcasting ability (spell save DC 20):
At Will: Detect Magic, Minor Illusion, Scorching Ray
(level 3 version), Shapechange (Beast or Humanoid
form only, no Temporary Hit Points gained from the
spell, and no Concentration or Temporary Hit Points
required to maintain the spell), Speak with Animals
1/Day Each: Control Weather, Detect Thoughts
Legendary Actions
Legendary Action Uses: 3 (4 in Lair). Immediately after
another creatureâ€™s turn, the dragon can expend a use to
take one of the following actions. The dragon regains all
expended uses at the start of each of its turns.
Blazing Light. The dragon uses Spellcasting to cast
Scorching Ray (level 3 version).
Pounce. The dragon moves up to half its Speed, and it
makes one Rend attack.
Scorching Sands. Dexterity Saving Throw: DC 20, one
creature the dragon can see within 120 feet. Failure:
36 (8d8) Fire damage, and the targetâ€™s Speed is halved
until the end of its next turn. Failure or Success: The
dragon canâ€™t take this action again until the start of its
next turn.</t>
  </si>
  <si>
    <t>Bronze Dragon Wyrmling</t>
  </si>
  <si>
    <t>Bronze Dragons</t>
  </si>
  <si>
    <t>Bronze Dragon Wyrmling
Medium Dragon (Metallic), Lawful Good
AC 15		                      Initiative +2 (12)
HP 39 (6d8 + 12)
Speed 30 ft., Fly 60 ft., Swim 30 ft.
MOD SAVE              MOD SAVE           MOD SAVE
Str 17 +3 +3          Dex 10 +0 +2          Con 15 +2 +2
Int 12 +1 +1          Wis 11 +0 +2          Cha 15 +2 +2
Skills Perception +4, Stealth +2
Immunities Lightning
Senses Blindsight 10 ft., Darkvision 60 ft.;
Passive Perception 14
Languages Draconic
CR 2 (XP 450; PB +2)
Traits
Amphibious. The dragon can breathe air and water.
Actions
Multiattack. The dragon makes two Rend attacks.
Rend. Melee Attack Roll: +5, reach 5 ft. Hit: 8 (1d10
+ 3) Slashing damage.
Lightning Breath (Recharge 5â€“6). Dexterity Saving
Throw: DC 12, each creature in a 40-foot-long, 5-foot-
wide Line. Failure: 16 (3d10) Lightning damage. Suc-
cess: Half damage.
Repulsion Breath. Strength Saving Throw: DC 12, each
creature in a 30-foot Cone. Failure: The target is pushed
up to 30 feet straight away from the dragon and has the
Prone condition.</t>
  </si>
  <si>
    <t>Young Bronze Dragon</t>
  </si>
  <si>
    <t>142 (15d10 + 60)</t>
  </si>
  <si>
    <t>Insight +4, Perception +7, Stealth +3</t>
  </si>
  <si>
    <t>Blindsight 30 ft., Darkvision 120 ft.; Passive Perception 17</t>
  </si>
  <si>
    <t>Young Bronze Dragon
Large Dragon (Metallic), Lawful Good
AC 17		                      Initiative +3 (13)
HP 142 (15d10 + 60)
Speed 40 ft., Fly 80 ft., Swim 40 ft.
MOD SAVE              MOD SAVE           MOD SAVE
Str 21 +5 +5          Dex 10 +0 +3          Con 19 +4 +4
Int 14 +2 +2          Wis 13 +1 +4          Cha 17 +3 +3
Skills Insight +4, Perception +7, Stealth +3
Immunities Lightning
Senses Blindsight 30 ft., Darkvision 120 ft.;
Passive Perception 17
Languages Common, Draconic
CR 8 (XP 3,900; PB +3)
Traits
Amphibious. The dragon can breathe air and water.
Actions
Multiattack. The dragon makes three Rend attacks. It
can replace one attack with a use of Repulsion Breath.
Rend. Melee Attack Roll: +8, reach 10 ft. Hit: 16 (2d10
+ 5) Slashing damage.
Lightning Breath (Recharge 5â€“6). Dexterity Saving
Throw: DC 15, each creature in a 60-foot-long, 5-foot-
wide Line. Failure: 49 (9d10) Lightning damage. Suc-
cess: Half damage.
Repulsion Breath. Strength Saving Throw: DC 15, each
creature in a 30-foot Cone. Failure: The target is pushed
up to 40 feet straight away from the dragon and has the
Prone condition.</t>
  </si>
  <si>
    <t>Adult Bronze Dragon</t>
  </si>
  <si>
    <t>Insight +7, Perception +12, Stealth +5</t>
  </si>
  <si>
    <t>Adult Bronze Dragon
Huge Dragon (Metallic), Lawful Good
AC 18		                      Initiative +10 (20)
HP 212 (17d12 + 102)
Speed 40 ft., Fly 80 ft., Swim 40 ft.
MOD SAVE             MOD SAVE            MOD SAVE
Str 25 +7 +7         Dex 10 +0 +5         Con 23 +6 +6
Int 16 +3 +3         Wis 15 +2 +7         Cha 20 +5 +5
Skills Insight +7, Perception +12, Stealth +5
Immunities Lightning
Senses Blindsight 60 ft., Darkvision 120 ft.;
Passive Perception 22
Languages Common, Draconic
CR 15 (XP 13,000, or 15,000 in lair; PB +5)
Traits
Amphibious. The dragon can breathe air and water.
Legendary Resistance (3/Day, or 4/Day in Lair). If
the dragon fails a saving throw, it can choose to suc-
ceed instead.
Actions
Multiattack. The dragon makes three Rend attacks.
It can replace one attack with a use of (A) Repulsion
Breath or (B) Spellcasting to cast Guiding Bolt (level
2 version).
Rend. Melee Attack Roll: +12, reach 10 ft. Hit: 16 (2d8
+ 7) Slashing damage plus 5 (1d10) Lightning damage.
Lightning Breath (Recharge 5â€“6). Dexterity Saving
Throw: DC 19, each creature in a 90-foot-long, 5-foot-
wide Line. Failure: 55 (10d10) Lightning damage. Suc-
cess: Half damage.
Repulsion Breath. Strength Saving Throw: DC 19, each
creature in a 30-foot Cone. Failure: The target is pushed
up to 60 feet straight away from the dragon and has the
Prone condition.
Spellcasting. The dragon casts one of the following
spells, requiring no Material components and using
Charisma as the spellcasting ability (spell save DC 17,
+10 to hit with spell attacks):
At Will: Detect Magic, Guiding Bolt (level 2 version),
Shapechange (Beast or Humanoid form only, no
Temporary Hit Points gained from the spell, and no
Concentration or Temporary Hit Points required to
maintain the spell), Speak with Animals, Thaumaturgy
1/Day Each: Detect Thoughts, Water Breathing
Legendary Actions
Legendary Action Uses: 3 (4 in Lair). Immediately after
another creatureâ€™s turn, the dragon can expend a use to
take one of the following actions. The dragon regains all
expended uses at the start of each of its turns.
Guiding Light. The dragon uses Spellcasting to cast
Guiding Bolt (level 2 version).
Pounce. The dragon moves up to half its Speed, and it
makes one Rend attack.
Thunderclap. Constitution Saving Throw: DC 17, each
creature in a 20-foot-radius Sphere centered on a point
the dragon can see within 90 feet. Failure: 10 (3d6)
Thunder damage, and the target has the Deafened con-
dition until the end of its next turn.</t>
  </si>
  <si>
    <t>Ancient Bronze Dragon</t>
  </si>
  <si>
    <t>444 (24d20 + 192)</t>
  </si>
  <si>
    <t>Insight +10, Perception +17, Stealth +7</t>
  </si>
  <si>
    <t>Ancient Bronze Dragon
Gargantuan Dragon (Metallic), Lawful Good
AC 22		                      Initiative +14 (24)
HP 444 (24d20 + 192)
Speed 40 ft., Fly 80 ft., Swim 40 ft.
MOD SAVE              MOD SAVE           MOD SAVE
Str 29 +9 +9          Dex 10 +0 +7 Con 27 +8 +8
Int 18 +4 +4          Wis 17 +3 +10 Cha 25 +7 +7
Skills Insight +10, Perception +17, Stealth +7
Immunities Lightning
Senses Blindsight 60 ft., Darkvision 120 ft.;
Passive Perception 27
Languages Common, Draconic
CR 22 (XP 41,000, or 50,000 in lair; PB +7)
Traits
Amphibious. The dragon can breathe air and water.
Legendary Resistance (4/Day, or 5/Day in Lair). If
the dragon fails a saving throw, it can choose to suc-
ceed instead.
Actions
Multiattack. The dragon makes three Rend attacks.
It can replace one attack with a use of (A) Repulsion
Breath or (B) Spellcasting to cast Guiding Bolt (level
2 version).
Rend. Melee Attack Roll: +16, reach 15 ft. Hit: 18 (2d8
+ 9) Slashing damage plus 9 (2d8) Lightning damage.
Lightning Breath (Recharge 5â€“6). Dexterity Saving
Throw: DC 23, each creature in a 120-foot-long,
10-foot-wide Line. Failure: 82 (15d10) Lightning dam-
age. Success: Half damage.
Repulsion Breath. Strength Saving Throw: DC 23, each
creature in a 30-foot Cone. Failure: The target is pushed
up to 60 feet straight away from the dragon and has the
Prone condition.
Spellcasting. The dragon casts one of the following
spells, requiring no Material components and using
Charisma as the spellcasting ability (spell save DC 22,
+14 to hit with spell attacks):
At Will: Detect Magic, Guiding Bolt (level 2 version),
Shapechange (Beast or Humanoid form only, no
Temporary Hit Points gained from the spell, and no
Concentration or Temporary Hit Points required to
maintain the spell), Speak with Animals, Thaumaturgy
1/Day Each: Detect Thoughts, Control Water, Scrying,
Water Breathing
Legendary Actions
Legendary Action Uses: 3 (4 in Lair). Immediately after
another creatureâ€™s turn, the dragon can expend a use to
take one of the following actions. The dragon regains all
expended uses at the start of each of its turns.
Guiding Light. The dragon uses Spellcasting to cast
Guiding Bolt (level 2 version).
Pounce. The dragon moves up to half its Speed, and it
makes one Rend attack.
Thunderclap. Constitution Saving Throw: DC 22, each
creature in a 20-foot-radius Sphere centered on a point
the dragon can see within 120 feet. Failure: 13 (3d8)
Thunder damage, and the target has the Deafened con-
dition until the end of its next turn.</t>
  </si>
  <si>
    <t>Bugbear Stalker</t>
  </si>
  <si>
    <t>Bugbears</t>
  </si>
  <si>
    <t>Goblinoid</t>
  </si>
  <si>
    <t>Stealth +6, Survival +3</t>
  </si>
  <si>
    <t>Chain Shirt, Javelins (6), Morningstar</t>
  </si>
  <si>
    <t>Darkvision 60 ft.; Passive Perception 11</t>
  </si>
  <si>
    <t>Common, Goblin</t>
  </si>
  <si>
    <t>Bugbear Stalker
Medium Fey (Goblinoid), Chaotic Evil
AC 15		                    Initiative +2 (12)
HP 65 (10d8 + 20)
Speed 30 ft.
MOD SAVE            MOD SAVE             MOD SAVE
Str 17 +3 +3         Dex 14 +2 +2         Con 14 +2 +4
Int 11 +0 +0         Wis 12 +1 +3         Cha 11 +0 +0
Skills Stealth +6, Survival +3
Gear Chain Shirt, Javelins (6), Morningstar
Senses Darkvision 60 ft.; Passive Perception 11
Languages Common, Goblin
CR 3 (XP 700; PB +2)
Traits
Abduct. The bugbear neednâ€™t spend extra movement to
move a creature it is grappling.
Actions
Multiattack. The bugbear makes two Javelin or Morn-
ingstar attacks.
Javelin. Melee or Ranged Attack Roll: +5, reach 10 ft.
or range 30/120 ft. Hit: 13 (3d6 + 3) Piercing damage.
Morningstar. Melee Attack Roll: +5 (with Advantage if
the target is Grappled by the bugbear), reach 10 ft. Hit:
12 (2d8 + 3) Piercing damage.
Bonus Actions
Quick Grapple. Dexterity Saving Throw: DC 13, one
Medium or smaller creature the bugbear can see within
10 feet. Failure: The target has the Grappled condition
(escape DC 13).</t>
  </si>
  <si>
    <t>Bugbear Warrior</t>
  </si>
  <si>
    <t>Stealth +6, Survival +2</t>
  </si>
  <si>
    <t>Hide Armor, Light Hammers (3)</t>
  </si>
  <si>
    <t>Bugbear Warrior
Medium Fey (Goblinoid), Chaotic Evil
AC 14		                     Initiative +2 (12)
HP 33 (6d8 + 6)
Speed 30 ft.
MOD SAVE             MOD SAVE           MOD SAVE
Str 15 +2 +2         Dex 14 +2 +2          Con 13 +1 +1
Int 8 âˆ’1 âˆ’1          Wis 11 +0 +0          Cha 9 âˆ’1 âˆ’1
Skills Stealth +6, Survival +2
Gear Hide Armor, Light Hammers (3)
Senses Darkvision 60 ft.; Passive Perception 10
Languages Common, Goblin
CR 1 (XP 200; PB +2)
Traits
Abduct. The bugbear neednâ€™t spend extra movement to
move a creature it is grappling.
Actions
Grab. Melee Attack Roll: +4, reach 10 ft. Hit: 9 (2d6
+ 2) Bludgeoning damage. If the target is a Medium
or smaller creature, it has the Grappled condition (es-
cape DC 12).
Light Hammer. Melee or Ranged Attack Roll: +4 (with
Advantage if the target is Grappled by the bugbear),
reach 10 ft. or range 20/60 ft. Hit: 9 (3d4 + 2) Blud-
geoning damage.</t>
  </si>
  <si>
    <t>Bulette</t>
  </si>
  <si>
    <t>94 (9d10 + 45)</t>
  </si>
  <si>
    <t>Speed 40 ft., Burrow 40 ft.</t>
  </si>
  <si>
    <t>Perception +6</t>
  </si>
  <si>
    <t>Darkvision 60 ft., Tremorsense 120 ft.; Passive Perception 16</t>
  </si>
  <si>
    <t>Bulette
Large Monstrosity, Unaligned
AC 17		                     Initiative +0 (10)
HP 94 (9d10 + 45)
Speed 40 ft., Burrow 40 ft.
MOD SAVE             MOD SAVE           MOD SAVE
Str 19 +4 +4         Dex 11 +0 +0          Con 21 +5 +5
Int 2 âˆ’4 âˆ’4          Wis 10 +0 +0          Cha 5 âˆ’3 âˆ’3
Skills Perception +6
Senses Darkvision 60 ft., Tremorsense 120 ft.;
Passive Perception 16
Languages None
CR 5 (XP 1,800; PB +3)
Actions
Multiattack. The bulette makes two Bite attacks.
Bite. Melee Attack Roll: +7, reach 5 ft. Hit: 17 (2d12
+ 4) Piercing damage.
Deadly Leap. The bulette spends 5 feet of movement
to jump to a space within 15 feet that contains one
or more Large or smaller creatures. Dexterity Saving
Throw: DC 15, each creature in the buletteâ€™s destina-
tion space. Failure: 19 (3d12) Bludgeoning damage, and
the target has the Prone condition. Success: Half dam-
age, and the target is pushed 5 feet straight away from
the bulette.
Bonus Actions
Leap. The bulette jumps up to 30 feet by spending 10
feet of movement.</t>
  </si>
  <si>
    <t>Centaur Trooper</t>
  </si>
  <si>
    <t>Centaur</t>
  </si>
  <si>
    <t>Neutral Good</t>
  </si>
  <si>
    <t>Athletics +6, Perception +3</t>
  </si>
  <si>
    <t>Breastplate, Longbow, Pike</t>
  </si>
  <si>
    <t>Passive Perception 13</t>
  </si>
  <si>
    <t>Elvish, Sylvan</t>
  </si>
  <si>
    <t>Centaur Trooper
Large Fey, Neutral Good
AC 16		                    Initiative +2 (12)
HP 45 (6d10 + 12)
Speed 50 ft.
MOD SAVE            MOD SAVE          MOD SAVE
Str 18 +4 +4         Dex 14 +2 +2         Con 14 +2 +2
Int 9 âˆ’1 âˆ’1          Wis 13 +1 +1         Cha 11 +0 +0
Skills Athletics +6, Perception +3
Gear Breastplate, Longbow, Pike
Senses Passive Perception 13
Languages Elvish, Sylvan
CR 2 (XP 450; PB +2)
Actions
Multiattack. The centaur makes two attacks, using Pike
or Longbow in any combination.
Pike. Melee Attack Roll: +6, reach 10 ft. Hit: 9 (1d10
+ 4) Piercing damage.
Longbow. Ranged Attack Roll: +4, range 150/600 ft.
Hit: 6 (1d8 + 2) Piercing damage.
Bonus Actions
Trampling Charge (Recharge 5â€“6). The centaur moves
up to its Speed without provoking Opportunity Attacks
and can move through the spaces of Medium or smaller
creatures. Each creature whose space the centaur en-
ters is targeted once by the following effect. Strength
Saving Throw: DC 14. Failure: 7 (1d6 + 4) Bludgeoning
damage, and the target has the Prone condition.</t>
  </si>
  <si>
    <t>Chain Devil</t>
  </si>
  <si>
    <t>85 (10d8 + 40)</t>
  </si>
  <si>
    <t>Bludgeoning, Cold, Piercing, Slashing</t>
  </si>
  <si>
    <t>Darkvision 120 ft. (unimpeded by magical Darkness); Passive Perception 11</t>
  </si>
  <si>
    <t>Chain Devil
Medium Fiend (Devil), Lawful Evil
AC 15		                    Initiative +5 (15)
HP 85 (10d8 + 40)
Speed 30 ft.
MOD SAVE            MOD SAVE              MOD SAVE
Str 18 +4 +4          Dex 15 +2 +2       Con 18 +4 +7
Int 11 +0 +0          Wis 12 +1 +4       Cha 14 +2 +2
Resistances Bludgeoning, Cold, Piercing, Slashing
Immunities Fire, Poison; Poisoned
Senses Darkvision 120 ft. (unimpeded by magical
Darkness); Passive Perception 11
Languages Infernal; telepathy 120 ft.
CR 8 (XP 3,900; PB +3)
Traits
Diabolical Restoration. If the devil dies outside the
Nine Hells, its body disappears in sulfurous smoke, and
it gains a new body instantly, reviving with all its Hit
Points somewhere in the Nine Hells.
Magic Resistance. The devil has Advantage on saving
throws against spells and other magical effects.
Actions
Multiattack. The devil makes two Chain attacks and
uses Conjure Infernal Chain.
Chain. Melee Attack Roll: +7, reach 10 ft. Hit: 11 (2d6
+ 4) Slashing damage. If the target is a Large or smaller
creature, it has the Grappled condition (escape DC 14)
from one of two chains, and it has the Restrained con-
dition until the grapple ends.
Conjure Infernal Chain. The devil conjures a fiery
chain to bind a creature. Dexterity Saving Throw:
DC 15, one creature the devil can see within 60 feet.
Failure: 9 (2d4 + 4) Fire damage, and the target has
the Restrained condition until the end of the devilâ€™s
next turn, at which point the chain disappears. If the
target is Large or smaller, the devil moves the target
up to 30 feet straight toward itself. Success: The chain
disappears.
Reactions
Unnerving Gaze. Trigger: A creature the devil can
see starts its turn within 30 feet of the devil and can
see the devil. Responseâ€”Wisdom Saving Throw: DC
15, the triggering creature. Failure: The target has the
Frightened condition until the end of its turn. Success:
The target is immune to this devilâ€™s Unnerving Gaze
for 24 hours.</t>
  </si>
  <si>
    <t>Chimera</t>
  </si>
  <si>
    <t>114 (12d10 + 48)</t>
  </si>
  <si>
    <t>Speed 30 ft., Fly 60 ft.</t>
  </si>
  <si>
    <t>Perception +8</t>
  </si>
  <si>
    <t>Darkvision 60 ft.; Passive Perception 18</t>
  </si>
  <si>
    <t>Understands Draconic but canâ€™t speak</t>
  </si>
  <si>
    <t>Chimera
Large Monstrosity, Chaotic Evil
AC 14		                    Initiative +0 (10)
HP 114 (12d10 + 48)
Speed 30 ft., Fly 60 ft.
MOD SAVE               MOD SAVE         MOD SAVE
Str 19 +4 +4         Dex 11 +0 +0           Con 19 +4 +4
Int 3 âˆ’4 âˆ’4          Wis 14 +2 +2           Cha 10 +0 +0
Skills Perception +8
Senses Darkvision 60 ft.; Passive Perception 18
Languages Understands Draconic but canâ€™t speak
CR 6 (XP 2,300; PB +3)
Actions
Multiattack. The chimera makes one Ram attack, one
Bite attack, and one Claw attack. It can replace the
Claw attack with a use of Fire Breath if available.
Bite. Melee Attack Roll: +7, reach 5 ft. Hit: 11 (2d6 + 4)
Piercing damage, or 18 (4d6 + 4) Piercing damage if the
chimera had Advantage on the attack roll.
Claw. Melee Attack Roll: +7, reach 5 ft. Hit: 7 (1d6 + 4)
Slashing damage.
Ram. Melee Attack Roll: +7, reach 5 ft. Hit: 10 (1d12
+ 4) Bludgeoning damage. If the target is a Medium or
smaller creature, it has the Prone condition.
Fire Breath (Recharge 5â€“6). Dexterity Saving Throw:
DC 15, each creature in a 15-foot Cone. Failure: 31
(7d8) Fire damage. Success: Half damage.</t>
  </si>
  <si>
    <t>Chuul</t>
  </si>
  <si>
    <t>76 (9d10 + 27)</t>
  </si>
  <si>
    <t>Speed 30 ft., Swim 30 ft.</t>
  </si>
  <si>
    <t>Perception +4</t>
  </si>
  <si>
    <t>Poison; Poisoned</t>
  </si>
  <si>
    <t>Darkvision 60 ft.; Passive Perception 14</t>
  </si>
  <si>
    <t>Understands Deep Speech but canâ€™t speak</t>
  </si>
  <si>
    <t>Chuul
Large Aberration, Chaotic Evil
AC 16		                   Initiative +0 (10)
HP 76 (9d10 + 27)
Speed 30 ft., Swim 30 ft.
MOD SAVE               MOD SAVE         MOD SAVE
Str 19 +4 +4         Dex 10 +0 +0           Con 16 +3 +3
Int 5 âˆ’3 âˆ’3          Wis 11 +0 +0           Cha 5 âˆ’3 âˆ’3
Skills Perception +4
Immunities Poison; Poisoned
Senses Darkvision 60 ft.; Passive Perception 14
Languages Understands Deep Speech but canâ€™t speak
CR 4 (XP 1,100; PB +2)
Traits
Amphibious. The chuul can breathe air and water.
Sense Magic. The chuul senses magic within 120 feet of
itself. This trait otherwise works like the Detect Magic
spell but isnâ€™t itself magical.
Actions
Multiattack. The chuul makes two Pincer attacks and
uses Paralyzing Tentacles.
Pincer. Melee Attack Roll: +6, reach 10 ft. Hit: 9 (1d10
+ 4) Bludgeoning damage. If the target is a Large or
smaller creature, it has the Grappled condition (escape
DC 14) from one of two pincers.
Paralyzing Tentacles. Constitution Saving Throw: DC
13, one creature Grappled by the chuul. Failure: The
target has the Poisoned condition and repeats the save
at the end of each of its turns, ending the effect on itself
on a success. After 1 minute, it succeeds automatically.
While Poisoned, the target has the Paralyzed condition.</t>
  </si>
  <si>
    <t>Clay Golem</t>
  </si>
  <si>
    <t>123 (13d10 + 52)</t>
  </si>
  <si>
    <t>Bludgeoning, Piercing, Slashing</t>
  </si>
  <si>
    <t>Acid, Poison, Psychic; Charmed, Exhaustion, Frightened, Paralyzed, Petrified, Poisoned</t>
  </si>
  <si>
    <t>Clay Golem
Large Construct, Unaligned
AC 14		                    Initiative +3 (13)
HP 123 (13d10 + 52)
Speed 30 ft.
MOD SAVE            MOD SAVE             MOD SAVE
Str 20 +5 +5         Dex 9 âˆ’1 âˆ’1          Con 18 +4 +4
Int 3 âˆ’4 âˆ’4          Wis 8 âˆ’1 âˆ’1          Cha 1 âˆ’5 âˆ’5
Resistances Bludgeoning, Piercing, Slashing
Immunities Acid, Poison, Psychic; Charmed, Exhaustion,
Frightened, Paralyzed, Petrified, Poisoned
Senses Darkvision 60 ft.; Passive Perception 9
Languages Common plus one other language
CR 9 (XP 5,000; PB +4)
Traits
Acid Absorption. Whenever the golem is subjected to
Acid damage, it takes no damage and instead regains a
number of Hit Points equal to the Acid damage dealt.
Berserk. Whenever the golem starts its turn Bloodied,
roll 1d6. On a 6, the golem goes berserk. On each of
its turns while berserk, the golem attacks the nearest
creature it can see. If no creature is near enough to
move to and attack, the golem attacks an object. Once
the golem goes berserk, it continues to be berserk until
it is destroyed or it is no longer Bloodied.
Immutable Form. The golem canâ€™t shape-shift.
Magic Resistance. The golem has Advantage on saving
throws against spells and other magical effects.
Actions
Multiattack. The golem makes two Slam attacks, or it
makes three Slam attacks if it used Hasten this turn.
Slam. Melee Attack Roll: +9, reach 5 ft. Hit: 10 (1d10
+ 5) Bludgeoning damage plus 6 (1d12) Acid damage,
and the targetâ€™s Hit Point maximum decreases by an
amount equal to the Acid damage taken.
Bonus Actions
Hasten (Recharge 5â€“6). The golem takes the Dash and
Disengage actions.</t>
  </si>
  <si>
    <t>Cloaker</t>
  </si>
  <si>
    <t>Chaotic Neutral</t>
  </si>
  <si>
    <t>91 (14d10 + 14)</t>
  </si>
  <si>
    <t>Speed 10 ft., Fly 40 ft.</t>
  </si>
  <si>
    <t>Stealth +5</t>
  </si>
  <si>
    <t>Frightened</t>
  </si>
  <si>
    <t>Darkvision 120 ft.; Passive Perception 12</t>
  </si>
  <si>
    <t>Deep Speech, Undercommon</t>
  </si>
  <si>
    <t>Cloaker
Large Aberration, Chaotic Neutral
AC 14		                    Initiative +5 (15)
HP 91 (14d10 + 14)
Speed 10 ft., Fly 40 ft.
MOD SAVE            MOD SAVE             MOD SAVE
Str 17 +3 +3          Dex 15 +2 +2       Con 12 +1 +1
Int 13 +1 +1          Wis 14 +2 +2       Cha 7 âˆ’2 âˆ’2
Skills Stealth +5
Immunities Frightened
Senses Darkvision 120 ft.; Passive Perception 12
Languages Deep Speech, Undercommon
CR 8 (XP 3,900; PB +3)
Traits
Light Sensitivity. While in Bright Light, the cloaker has
Disadvantage on attack rolls.
Actions
Multiattack. The cloaker makes one Attach attack and
two Tail attacks.
Attach. Melee Attack Roll: +6, reach 5 ft. Hit: 13 (3d6
+ 3) Piercing damage. If the target is a Large or smaller
creature, the cloaker attaches to it. While the cloaker
is attached, the target has the Blinded condition, and
the cloaker canâ€™t make Attach attacks against other tar-
gets. In addition, the cloaker halves the damage it takes
(round down), and the target takes the same amount
of damage.
The cloaker can detach itself by spending 5 feet of
movement. The target or a creature within 5 feet of it
can take an action to try to detach the cloaker, doing so
by succeeding on a DC 14 Strength (Athletics) check.
Tail. Melee Attack Roll: +6, reach 10 ft. Hit: 8 (1d10
+ 3) Slashing damage.
Bonus Actions
Moan. Wisdom Saving Throw: DC 13, each creature
in a 60-foot Emanation originating from the cloaker.
Failure: The target has the Frightened condition until
the end of the cloakerâ€™s next turn. Success: The target is
immune to this cloakerâ€™s Moan for the next 24 hours.
Phantasms (Recharge after a Short or Long Rest). The
cloaker casts the Mirror Image spell, requiring no spell
components and using Wisdom as the spellcasting abil-
ity. The spell ends early if the cloaker starts or ends its
turn in Bright Light.</t>
  </si>
  <si>
    <t>Cloud Giant</t>
  </si>
  <si>
    <t>Giant</t>
  </si>
  <si>
    <t>200 (16d12 + 96)</t>
  </si>
  <si>
    <t>Speed 40 ft., Fly 20 ft. (hover)</t>
  </si>
  <si>
    <t>Insight +7, Perception +11</t>
  </si>
  <si>
    <t>Passive Perception 21</t>
  </si>
  <si>
    <t>Common, Giant</t>
  </si>
  <si>
    <t>Cloud Giant
Huge Giant, Neutral
AC 14		                      Initiative +4 (14)
HP 200 (16d12 + 96)
Speed 40 ft., Fly 20 ft. (hover)
MOD SAVE              MOD SAVE          MOD SAVE
Str 27 +8 +8          Dex 10 +0 +0         Con 22 +6 +10
Int 12 +1 +1          Wis 16 +3 +7         Cha 16 +3 +3
Skills Insight +7, Perception +11
Senses Passive Perception 21
Languages Common, Giant
CR 9 (XP 5,000; PB +4)
Actions
Multiattack. The giant makes two attacks, using Thun-
derous Mace or Thundercloud in any combination. It
can replace one attack with a use of Spellcasting to cast
Fog Cloud.
Thunderous Mace. Melee Attack Roll: +12, reach 10
ft. Hit: 21 (3d8 + 8) Bludgeoning damage plus 7 (2d6)
Thunder damage.
Thundercloud. Ranged Attack Roll: +12, range 240
ft. Hit: 18 (3d6 + 8) Thunder damage, and the target
has the Incapacitated condition until the end of its
next turn.
Spellcasting. The giant casts one of the following spells,
requiring no Material components and using Charisma
as the spellcasting ability (spell save DC 15):
At Will: Detect Magic, Fog Cloud, Light
1/Day Each: Control Weather, Gaseous Form,
Telekinesis
Bonus Actions
Misty Step. The giant casts the Misty Step spell, using
the same spellcasting ability as Spellcasting.</t>
  </si>
  <si>
    <t>Cockatrice</t>
  </si>
  <si>
    <t>22 (5d6 + 5)</t>
  </si>
  <si>
    <t>Speed 20 ft., Fly 40 ft.</t>
  </si>
  <si>
    <t>Petrified</t>
  </si>
  <si>
    <t>Cockatrice
Small Monstrosity, Unaligned
AC 11		                     Initiative +1 (11)
HP 22 (5d6 + 5)
Speed 20 ft., Fly 40 ft.
MOD SAVE              MOD SAVE          MOD SAVE
Str 6 âˆ’2 âˆ’2           Dex 12 +1 +1         Con 12 +1 +1
Int 2 âˆ’4 âˆ’4           Wis 13 +1 +1         Cha 5 âˆ’3 âˆ’3
Immunities Petrified
Senses Darkvision 60 ft.; Passive Perception 11
Languages None
CR 1/2 (XP 100; PB +2)
Actions
Petrifying Bite. Melee Attack Roll: +3, reach 5 ft. Hit:
3 (1d4 + 1) Piercing damage. If the target is a creature,
it is subjected to the following effect. Constitution
Saving Throw: DC 11. First Failure: The target has the
Restrained condition. The target repeats the save at the
end of its next turn if it is still Restrained, ending the
effect on itself on a success. Second Failure: The target
has the Petrified condition, instead of the Restrained
condition, for 24 hours.</t>
  </si>
  <si>
    <t>Commoner</t>
  </si>
  <si>
    <t>4 (1d8)</t>
  </si>
  <si>
    <t>Club</t>
  </si>
  <si>
    <t>Commoner
Medium or Small Humanoid, Neutral
AC 10		                     Initiative +0 (10)
HP 4 (1d8)
Speed 30 ft.
MOD SAVE             MOD SAVE           MOD SAVE
Str 10 +0 +0         Dex 10 +0 +0          Con 10 +0 +0
Int 10 +0 +0         Wis 10 +0 +0          Cha 10 +0 +0
Gear Club
Senses Passive Perception 10
Languages Common
CR 0 (XP 10; PB +2)
Traits
Training. The commoner has proficiency in one skill of
the GMâ€™s choice and has Advantage whenever it makes
an ability check using that skill.
Actions
Club. Melee Attack Roll: +2, reach 5 ft. Hit: 2 (1d4)
Bludgeoning damage.</t>
  </si>
  <si>
    <t>Copper Dragon Wyrmling</t>
  </si>
  <si>
    <t>Copper Dragons</t>
  </si>
  <si>
    <t>Speed 30 ft., Climb 30 ft., Fly 60 ft.</t>
  </si>
  <si>
    <t>Perception +4, Stealth +3</t>
  </si>
  <si>
    <t>Copper Dragon Wyrmling
Medium Dragon (Metallic), Chaotic Good
AC 16		                     Initiative +3 (13)
HP 22 (4d8 + 4)
Speed 30 ft., Climb 30 ft., Fly 60 ft.
MOD SAVE             MOD SAVE           MOD SAVE
Str 15 +2 +2         Dex 12 +1 +3          Con 13 +1 +1
Int 14 +2 +2         Wis 11 +0 +2          Cha 13 +1 +1
Skills Perception +4, Stealth +3
Immunities Acid
Senses Blindsight 10 ft., Darkvision 60 ft.;
Passive Perception 14
Languages Draconic
CR 1 (XP 200; PB +2)
Actions
Rend. Melee Attack Roll: +4, reach 5 ft. Hit: 7 (1d10
+ 2) Slashing damage.
Acid Breath (Recharge 5â€“6). Dexterity Saving Throw:
DC 11, each creature in a 20-foot-long, 5-foot-
wide Line. Failure: 18 (4d8) Acid damage. Success:
Half damage.
Slowing Breath. Constitution Saving Throw: DC 11,
each creature in a 15-foot Cone. Failure: The target
canâ€™t take Reactions; its Speed is halved; and it can take
either an action or a Bonus Action on its turn, not both.
This effect lasts until the end of its next turn.</t>
  </si>
  <si>
    <t>Young Copper Dragon</t>
  </si>
  <si>
    <t>119 (14d10 + 42)</t>
  </si>
  <si>
    <t>Speed 40 ft., Climb 40 ft., Fly 80 ft.</t>
  </si>
  <si>
    <t>Deception +5, Perception +7, Stealth +4</t>
  </si>
  <si>
    <t>Young Copper Dragon
Large Dragon (Metallic), Chaotic Good
AC 17 		                    Initiative +4 (14)
HP 119 (14d10 + 42)
Speed 40 ft., Climb 40 ft., Fly 80 ft.
MOD SAVE             MOD SAVE           MOD SAVE
Str 19 +4 +4         Dex 12 +1 +4          Con 17 +3 +3
Int 16 +3 +3         Wis 13 +1 +4          Cha 15 +2 +2
Skills Deception +5, Perception +7, Stealth +4
Immunities Acid
Senses Blindsight 30 ft., Darkvision 120 ft.;
Passive Perception 17
Languages Common, Draconic
CR 7 (XP 2,900; PB +3)
Actions
Multiattack. The dragon makes three Rend attacks. It
can replace one attack with a use of Slowing Breath.
Rend. Melee Attack Roll: +7, reach 10 ft. Hit: 15 (2d10
+ 4) Slashing damage.
Acid Breath (Recharge 5â€“6). Dexterity Saving Throw:
DC 14, each creature in a 40-foot-long, 5-foot-
wide Line. Failure: 40 (9d8) Acid damage. Success:
Half damage.
Slowing Breath. Constitution Saving Throw: DC 14,
each creature in a 30-foot Cone. Failure: The target
canâ€™t take Reactions; its Speed is halved; and it can take
either an action or a Bonus Action on its turn, not both.
This effect lasts until the end of its next turn.</t>
  </si>
  <si>
    <t>Adult Copper Dragon</t>
  </si>
  <si>
    <t>184 (16d12 + 80)</t>
  </si>
  <si>
    <t>Deception +9, Perception +12, Stealth +6</t>
  </si>
  <si>
    <t>Adult Copper Dragon
Huge Dragon (Metallic), Chaotic Good
AC 18		                     Initiative +11 (21)
HP 184 (16d12 + 80)
Speed 40 ft., Climb 40 ft., Fly 80 ft.
MOD SAVE            MOD SAVE             MOD SAVE
Str 23 +6 +6         Dex 12 +1 +6        Con 21 +5 +5
Int 18 +4 +4         Wis 15 +2 +7        Cha 18 +4 +4
Skills Deception +9, Perception +12, Stealth +6
Immunities Acid
Senses Blindsight 60 ft., Darkvision 120 ft.;
Passive Perception 22
Languages Common, Draconic
CR 14 (XP 11,500, or 13,000 in lair; PB +5)
Traits
Legendary Resistance (3/Day, or 4/Day in Lair). If
the dragon fails a saving throw, it can choose to suc-
ceed instead.
Actions
Multiattack. The dragon makes three Rend attacks. It
can replace one attack with a use of (A) Slowing Breath
or (B) Spellcasting to cast Mind Spike (level 4 version).
Rend. Melee Attack Roll: +11, reach 10 ft. Hit: 17 (2d10
+ 6) Slashing damage plus 4 (1d8) Acid damage.
Acid Breath (Recharge 5â€“6). Dexterity Saving Throw:
DC 18, each creature in an 60-foot-long, 5-foot-
wide Line. Failure: 54 (12d8) Acid damage. Success:
Half damage.
Slowing Breath. Constitution Saving Throw: DC 18,
each creature in a 60-foot Cone. Failure: The target
canâ€™t take Reactions; its Speed is halved; and it can take
either an action or a Bonus Action on its turn, not both.
This effect lasts until the end of its next turn.
Spellcasting. The dragon casts one of the following
spells, requiring no Material components and using
Charisma as the spellcasting ability (spell save DC 17):
At Will: Detect Magic, Mind Spike (level 4 version),
Minor Illusion, Shapechange (Beast or Humanoid
form only, no Temporary Hit Points gained from the
spell, and no Concentration or Temporary Hit Points
required to maintain the spell)
1/Day Each: Greater Restoration, Major Image
Legendary Actions
Legendary Action Uses: 3 (4 in Lair). Immediately after
another creatureâ€™s turn, the dragon can expend a use to
take one of the following actions. The dragon regains all
expended uses at the start of each of its turns.
Giggling Magic. Charisma Saving Throw: DC 17, one
creature the dragon can see within 90 feet. Failure: 24
(7d6) Psychic damage. Until the end of its next turn,
the target rolls 1d6 whenever it makes an ability check
or attack roll and subtracts the number rolled from the
D20 Test. Failure or Success: The dragon canâ€™t take this
action again until the start of its next turn.
Mind Jolt. The dragon uses Spellcasting to cast Mind
Spike (level 4 version). The dragon canâ€™t take this action
again until the start of its next turn.
Pounce. The dragon moves up to half its Speed, and it
makes one Rend attack.</t>
  </si>
  <si>
    <t>Ancient Copper Dragon</t>
  </si>
  <si>
    <t>Deception +13, Perception +17, Stealth +8</t>
  </si>
  <si>
    <t>Ancient Copper Dragon
Gargantuan Dragon (Metallic), Chaotic Good
AC 21		                     Initiative +15 (25)
HP 367 (21d20 + 147)
Speed 40 ft., Climb 40 ft., Fly 80 ft.
MOD SAVE             MOD SAVE            MOD SAVE
Str 27 +8 +8         Dex 12 +1 +8 Con 25 +7 +7
Int 20 +5 +5         Wis 17 +3 +10 Cha 22 +6 +6
Skills Deception +13, Perception +17, Stealth +8
Immunities Acid
Senses Blindsight 60 ft., Darkvision 120 ft.;
Passive Perception 27
Languages Common, Draconic
CR 21 (XP 33,000, or 41,000 in lair; PB +7)
Traits
Legendary Resistance (4/Day, or 5/Day in Lair). If
the dragon fails a saving throw, it can choose to suc-
ceed instead.
Actions
Multiattack. The dragon makes three Rend attacks. It
can replace one attack with a use of (A) Slowing Breath
or (B) Spellcasting to cast Mind Spike (level 5 version).
Rend. Melee Attack Roll: +15, reach 15 ft. Hit: 19 (2d10
+ 8) Slashing damage plus 9 (2d8) Acid damage.
Acid Breath (Recharge 5â€“6). Dexterity Saving Throw:
DC 22, each creature in an 90-foot-long, 10-foot-
wide Line. Failure: 63 (14d8) Acid damage. Success:
Half damage.
Slowing Breath. Constitution Saving Throw: DC 22,
each creature in a 90-foot Cone. Failure: The target
canâ€™t take Reactions; its Speed is halved; and it can take
either an action or a Bonus Action on its turn, not both.
This effect lasts until the end of its next turn.
Spellcasting. The dragon casts one of the following
spells, requiring no Material components and using
Charisma as the spellcasting ability (spell save DC 21):
At Will: Detect Magic, Mind Spike (level 5 version),
Minor Illusion, Shapechange (Beast or Humanoid
form only, no Temporary Hit Points gained from the
spell, and no Concentration or Temporary Hit Points
required to maintain the spell)
1/Day Each: Greater Restoration, Major Image,
Project Image
Legendary Actions
Legendary Action Uses: 3 (4 in Lair). Immediately after
another creatureâ€™s turn, the dragon can expend a use to
take one of the following actions. The dragon regains all
expended uses at the start of each of its turns.
Giggling Magic. Charisma Saving Throw: DC 21, one
creature the dragon can see within 120 feet. Failure:
31 (9d6) Psychic damage. Until the end of its next turn,
the target rolls 1d8 whenever it makes an ability check
or attack roll and subtracts the number rolled from the
D20 Test. Failure or Success: The dragon canâ€™t take this
action again until the start of its next turn.
Mind Jolt. The dragon uses Spellcasting to cast Mind
Spike (level 5 version). The dragon canâ€™t take this action
again until the start of its next turn.
Pounce. The dragon moves up to half its Speed, and it
makes one Rend attack.</t>
  </si>
  <si>
    <t>Couatl</t>
  </si>
  <si>
    <t>Celestial</t>
  </si>
  <si>
    <t>60 (8d8 + 24)</t>
  </si>
  <si>
    <t>Speed 30 ft., Fly 90 ft.</t>
  </si>
  <si>
    <t>Psychic, Radiant</t>
  </si>
  <si>
    <t>Truesight 120 ft.; Passive Perception 15</t>
  </si>
  <si>
    <t>All; telepathy 120 ft.</t>
  </si>
  <si>
    <t>Couatl
Medium Celestial, Lawful Good
AC 19		                    Initiative +5 (15)
HP 60 (8d8 + 24)
Speed 30 ft., Fly 90 ft.
MOD SAVE            MOD SAVE             MOD SAVE
Str 16 +3 +3          Dex 20 +5 +5       Con 17 +3 +5
Int 18 +4 +4          Wis 20 +5 +7       Cha 18 +4 +4
Resistances Bludgeoning, Piercing, Slashing
Immunities Psychic, Radiant
Senses Truesight 120 ft.; Passive Perception 15
Languages All; telepathy 120 ft.
CR 4 (XP 1,100; PB +2)
Traits
Shielded Mind. The couatlâ€™s thoughts canâ€™t be read by
any means, and other creatures can communicate with
it telepathically only if it allows them.
Actions
Bite. Melee Attack Roll: +7, reach 5 ft. Hit: 11 (1d12
+ 5) Piercing damage, and the target has the Poisoned
condition until the end of the couatlâ€™s next turn.
Constrict. Strength Saving Throw: DC 15, one Medium
or smaller creature the couatl can see within 5 feet.
Failure: 8 (1d6 + 5) Bludgeoning damage. The target has
the Grappled condition (escape DC 13), and it has the
Restrained condition until the grapple ends.
Spellcasting. The couatl casts one of the following
spells, requiring no spell components and using Wis-
dom as the spellcasting ability (spell save DC 15):
At Will: Detect Evil and Good, Detect Magic, Detect
Thoughts, Shapechange (Beast or Humanoid form
only, no Temporary Hit Points gained from the spell,
and no Concentration or Temporary Hit Points re-
quired to maintain the spell)
1/Day Each: Create Food and Water, Dream, Greater
Restoration, Scrying, Sleep
Bonus Actions
Divine Aid (2/Day). The couatl casts Bless, Lesser Res-
toration, or Sanctuary, requiring no spell components
and using the same spellcasting ability as Spellcasting.</t>
  </si>
  <si>
    <t>Swarm of Crawling Claws</t>
  </si>
  <si>
    <t>Crawling Claw</t>
  </si>
  <si>
    <t>Swarm of Tiny Undead</t>
  </si>
  <si>
    <t>49 (11d8)</t>
  </si>
  <si>
    <t>Necrotic, Poison; Charmed, Exhaustion, Frightened, Grappled, Incapacitated, Paralyzed, Petrified, Poisoned, Prone, Restrained, Stunned</t>
  </si>
  <si>
    <t>Blindsight 30 ft.; Passive Perception 10</t>
  </si>
  <si>
    <t>Understands Common but canâ€™t speak</t>
  </si>
  <si>
    <t>Swarm of Crawling Claws
Medium Swarm of Tiny Undead, Neutral Evil
AC 12		                    Initiative +2 (12)
HP 49 (11d8)
Speed 30 ft., Climb 30 ft.
MOD SAVE             MOD SAVE           MOD SAVE
Str 14 +2 +2         Dex 14 +2 +2         Con 11 +0 +0
Int 5 âˆ’3 âˆ’3          Wis 10 +0 +0         Cha 4 âˆ’3 âˆ’3
Resistances Bludgeoning, Piercing, Slashing
Immunities Necrotic, Poison; Charmed, Exhaustion,
Frightened, Grappled, Incapacitated, Paralyzed,
Petrified, Poisoned, Prone, Restrained, Stunned
Senses Blindsight 30 ft.; Passive Perception 10
Languages Understands Common but canâ€™t speak
CR 3 (XP 700; PB +2)
Traits
Swarm. The swarm can occupy another creatureâ€™s
space and vice versa, and the swarm can move
through any opening large enough for a Tiny creature.
The swarm canâ€™t regain Hit Points or gain Temporary
Hit Points.
Actions
Swarm of Grasping Hands. Melee Attack Roll: +4,
reach 5 ft. Hit: 20 (4d8 + 2) Necrotic damage, or 11
(2d8 + 2) Necrotic damage if the swarm is Bloodied.
If the target is a Medium or smaller creature, it has the
Prone condition.</t>
  </si>
  <si>
    <t>Cultist</t>
  </si>
  <si>
    <t>Cultists</t>
  </si>
  <si>
    <t>9 (2d8)</t>
  </si>
  <si>
    <t>Deception +2, Religion +2</t>
  </si>
  <si>
    <t>Leather Armor, Sickle</t>
  </si>
  <si>
    <t>Cultist
Medium or Small Humanoid, Neutral
AC 12		                    Initiative +1 (11)
HP 9 (2d8)
Speed 30 ft.
MOD SAVE            MOD SAVE            MOD SAVE
Str 11 +0 +0          Dex 12 +1 +1        Con 10 +0 +0
Int 10 +0 +0          Wis 11 +0 +2        Cha 10 +0 +0
Skills Deception +2, Religion +2
Gear Leather Armor, Sickle
Senses Passive Perception 10
Languages Common
CR 1/8 (XP 25; PB +2)
Actions
Ritual Sickle. Melee Attack Roll: +3, reach 5 ft. Hit: 3
(1d4 + 1) Slashing damage plus 1 Necrotic damage.</t>
  </si>
  <si>
    <t>Cultist Fanatic</t>
  </si>
  <si>
    <t>44 (8d8 + 8)</t>
  </si>
  <si>
    <t>Deception +3, Persuasion +3, Religion +2</t>
  </si>
  <si>
    <t>Holy Symbol, Leather Armor</t>
  </si>
  <si>
    <t>Passive Perception 12</t>
  </si>
  <si>
    <t>Cultist Fanatic
Medium or Small Humanoid, Neutral
AC 13		                    Initiative +2 (12)
HP 44 (8d8 + 8)
Speed 30 ft.
MOD SAVE            MOD SAVE            MOD SAVE
Str 11 +0 +0          Dex 14 +2 +2        Con 12 +1 +1
Int 10 +0 +0          Wis 14 +2 +4        Cha 13 +1 +1
Skills Deception +3, Persuasion +3, Religion +2
Gear Holy Symbol, Leather Armor
Senses Passive Perception 12
Languages Common
CR 2 (XP 450; PB +2)
Actions
Pact Blade. Melee Attack Roll: +4, reach 5 ft.
Hit: 6 (1d8 + 2) Slashing damage plus 7 (2d6) Ne-
crotic damage.
Spellcasting. The cultist casts one of the following
spells, using Wisdom as the spellcasting ability (spell
save DC 12, +4 to hit with spell attacks):
At Will: Light, Thaumaturgy
2/Day: Command
1/Day: Hold Person
Bonus Actions
Spiritual Weapon (2/Day). The cultist casts the Spiritual
Weapon spell, using the same spellcasting ability as
Spellcasting.</t>
  </si>
  <si>
    <t>Darkmantle</t>
  </si>
  <si>
    <t>Speed 10 ft., Fly 30 ft.</t>
  </si>
  <si>
    <t>Stealth +3</t>
  </si>
  <si>
    <t>Blindsight 60 ft.; Passive Perception 10</t>
  </si>
  <si>
    <t>Darkmantle
Small Aberration, Unaligned
AC 11		                    Initiative +3 (13)
HP 22 (5d6 + 5)
Speed 10 ft., Fly 30 ft.
MOD SAVE            MOD SAVE            MOD SAVE
Str 16 +3 +3         Dex 12 +1 +1         Con 13 +1 +1
Int 2 âˆ’4 âˆ’4          Wis 10 +0 +0         Cha 5 âˆ’3 âˆ’3
Skills Stealth +3
Senses Blindsight 60 ft.; Passive Perception 10
Languages None
CR 1/2 (XP 100; PB +2)
Actions
Crush. Melee Attack Roll: +5, reach 5 ft. Hit: 6 (1d6
+ 3) Bludgeoning damage, and the darkmantle attaches
to the target. If the target is a Medium or smaller crea-
ture and the darkmantle had Advantage on the attack
roll, it covers the target, which has the Blinded condi-
tion and is suffocating while the darkmantle is attached
in this way.
While attached to a target, the darkmantle can attack
only the target but has Advantage on its attack rolls. Its
Speed becomes 0, it canâ€™t benefit from any bonus to its
Speed, and it moves with the target.
A creature can take an action to try to detach the
darkmantle from itself, doing so with a successful DC
13 Strength (Athletics) check. On its turn, the darkman-
tle can detach itself by using 5 feet of movement.
Darkness Aura (1/Day). Magical Darkness fills a 15-foot
Emanation originating from the darkmantle. This effect
lasts while the darkmantle maintains Concentration
on it, up to 10 minutes. Darkvision canâ€™t penetrate this
area, and no light can illuminate it.</t>
  </si>
  <si>
    <t>Death Dog</t>
  </si>
  <si>
    <t>Perception +5, Stealth +4</t>
  </si>
  <si>
    <t>Blinded, Charmed, Deafened, Frightened, Stunned, Unconscious</t>
  </si>
  <si>
    <t>Darkvision 120 ft.; Passive Perception 15</t>
  </si>
  <si>
    <t>Death Dog
Medium Monstrosity, Neutral Evil
AC 12		                    Initiative +2 (12)
HP 39 (6d8 + 12)
Speed 40 ft.
MOD SAVE            MOD SAVE            MOD SAVE
Str 15 +2 +2         Dex 14 +2 +2         Con 14 +2 +2
Int 3 âˆ’4 âˆ’4          Wis 13 +1 +1         Cha 6 âˆ’2 âˆ’2
Skills Perception +5, Stealth +4
Immunities Blinded, Charmed, Deafened, Frightened,
Stunned, Unconscious
Senses Darkvision 120 ft.; Passive Perception 15
Languages None
CR 1 (XP 200; PB +2)
Actions
Multiattack. The death dog makes two Bite attacks.
Bite. Melee Attack Roll: +4, reach 5 ft. Hit: 4 (1d4
+ 2) Piercing damage. If the target is a creature, it is
subjected to the following effect. Constitution Saving
Throw: DC 12. First Failure: The target has the Poisoned
condition. While Poisoned, the targetâ€™s Hit Point max-
imum doesnâ€™t return to normal when finishing a Long
Rest, and it repeats the save every 24 hours that elapse,
ending the effect on itself on a success. Subsequent
Failures: The Poisoned targetâ€™s Hit Point maximum de-
creases by 5 (1d10).</t>
  </si>
  <si>
    <t>Deva</t>
  </si>
  <si>
    <t>Angel</t>
  </si>
  <si>
    <t>229 (27d8 + 108)</t>
  </si>
  <si>
    <t>Speed 30 ft., Fly 90 ft. (hover)</t>
  </si>
  <si>
    <t>Insight +9, Perception +9</t>
  </si>
  <si>
    <t>Radiant</t>
  </si>
  <si>
    <t>Charmed, Exhaustion, Frightened</t>
  </si>
  <si>
    <t>Darkvision 120 ft.; Passive Perception 19</t>
  </si>
  <si>
    <t>Deva
Medium Celestial (Angel), Lawful Good
AC 17 		                     Initiative +4 (14)
HP 229 (27d8 + 108)
Speed 30 ft., Fly 90 ft. (hover)
MOD SAVE              MOD SAVE           MOD SAVE
Str 18 +4 +4          Dex 18 +4 +4         Con 18 +4 +4
Int 17 +3 +3          Wis 20 +5 +9         Cha 20 +5 +9
Skills Insight +9, Perception +9
Resistances Radiant
Immunities Charmed, Exhaustion, Frightened
Senses Darkvision 120 ft.; Passive Perception 19
Languages All; telepathy 120 ft.
CR 10 (XP 5,900; PB +4)
Traits
Exalted Restoration. If the deva dies outside Mount
Celestia, its body disappears, and it gains a new body
instantly, reviving with all its Hit Points somewhere in
Mount Celestia.
Magic Resistance. The deva has Advantage on saving
throws against spells and other magical effects.
Actions
Multiattack. The deva makes two Holy Mace attacks.
Holy Mace. Melee Attack Roll: +8, reach 5 ft. Hit:
7 (1d6 + 4) Bludgeoning damage plus 18 (4d8) Radi-
ant damage.
Spellcasting. The deva casts one of the following spells,
requiring no Material components and using Charisma
as the spellcasting ability (spell save DC 17):
At Will: Detect Evil and Good, Shapechange (Beast or
Humanoid form only, no Temporary Hit Points gained
from the spell, and no Concentration or Temporary
Hit Points required to maintain the spell)
1/Day Each: Commune, Raise Dead
Bonus Actions
Divine Aid (2/Day). The deva casts Cure Wounds,
Lesser Restoration, or Remove Curse, using the same
spellcasting ability as Spellcasting.</t>
  </si>
  <si>
    <t>Djinni</t>
  </si>
  <si>
    <t>Genie</t>
  </si>
  <si>
    <t>218 (19d10 + 114)</t>
  </si>
  <si>
    <t>Lightning, Thunder</t>
  </si>
  <si>
    <t>Darkvision 120 ft.; Passive Perception 13</t>
  </si>
  <si>
    <t>Djinni
Large Elemental (Genie), Neutral
AC 17 		                     Initiative +2 (12)
HP 218 (19d10 + 114)
Speed 30 ft., Fly 90 ft. (hover)
MOD SAVE              MOD SAVE           MOD SAVE
Str 21 +5 +5          Dex 15 +2 +6          Con 22 +6 +6
Int 15 +2 +2          Wis 16 +3 +7          Cha 20 +5 +5
Immunities Lightning, Thunder
Senses Darkvision 120 ft.; Passive Perception 13
Languages Primordial (Auran)
CR 11 (XP 7,200; PB +4)
Traits
Elemental Restoration. If the djinni dies outside the
Elemental Plane of Air, its body dissolves into mist, and
it gains a new body in 1d4 days, reviving with all its Hit
Points somewhere on the Plane of Air.
Magic Resistance. The djinni has Advantage on saving
throws against spells and other magical effects.
Wishes. The djinni has a 30 percent chance of knowing
the Wish spell. If the djinni knows it, the djinni can cast
it only on behalf of a non-genie creature who commu-
nicates a wish in a way the djinni can understand. If the
djinni casts the spell for the creature, the djinni suffers
none of the spellâ€™s stress. Once the djinni has cast it
three times, the djinni canâ€™t do so again for 365 days.
Actions
Multiattack. The djinni makes three attacks, using
Storm Blade or Storm Bolt in any combination.
Storm Blade. Melee Attack Roll: +9, reach 5 feet.
Hit: 12 (2d6 + 5) Slashing damage plus 7 (2d6) Light-
ning damage.
Storm Bolt. Ranged Attack Roll: +9, range 120 feet.
Hit: 13 (3d8) Thunder damage. If the target is a Large or
smaller creature, it has the Prone condition.
Create Whirlwind. The djinni conjures a whirlwind at
a point it can see within 120 feet. The whirlwind fills a
20-foot-radius, 60-foot-high Cylinder centered on that
point. The whirlwind lasts until the djinniâ€™s Concentra-
tion on it ends. The djinni can move the whirlwind up
to 20 feet at the start of each of its turns.
Whenever the whirlwind enters a creatureâ€™s space or
a creature enters the whirlwind, that creature is sub-
jected to the following effect. Strength Saving Throw:
DC 17 (a creature makes this save only once per turn,
and the djinni is unaffected). Failure: While in the
whirlwind, the target has the Restrained condition
and moves with the whirlwind. At the start of each of
its turns, the Restrained target takes 21 (6d6) Thunder
damage. At the end of each of its turns, the target re-
peats the save, ending the effect on itself on a success.
Spellcasting. The djinni casts one of the following
spells, requiring no Material components and using
Charisma as the spellcasting ability (spell save DC 17):
At Will: Detect Evil and Good, Detect Magic
2/Day Each: Create Food and Water (can create wine
instead of water), Tongues, Wind Walk
1/Day Each: Creation, Gaseous Form, Invisibility, Major
Image, Plane Shift</t>
  </si>
  <si>
    <t>Doppelganger</t>
  </si>
  <si>
    <t>Deception +6, Insight +3</t>
  </si>
  <si>
    <t>Charmed</t>
  </si>
  <si>
    <t>Common plus three other languages</t>
  </si>
  <si>
    <t>Doppelganger
Medium Monstrosity, Neutral
AC 14		                   Initiative +4 (14)
HP 52 (8d8 + 16)
Speed 30 ft.
MOD SAVE            MOD SAVE            MOD SAVE
Str 11 +0 +0         Dex 18 +4 +4        Con 14 +2 +2
Int 11 +0 +0         Wis 12 +1 +1        Cha 14 +2 +2
Skills Deception +6, Insight +3
Immunities Charmed
Senses Darkvision 60 ft.; Passive Perception 11
Languages Common plus three other languages
CR 3 (XP 700; PB +2)
Actions
Multiattack. The doppelganger makes two Slam attacks
and uses Unsettling Visage if available.
Slam. Melee Attack Roll: +6 (with Advantage during the
first round of each combat), reach 5 ft. Hit: 11 (2d6 + 4)
Bludgeoning damage.
Read Thoughts. The doppelganger casts Detect
Thoughts, requiring no spell components and using
Charisma as the spellcasting ability (spell save DC 12).
Unsettling Visage (Recharge 6). Wisdom Saving Throw:
DC 12, each creature in a 15-foot Emanation originating
from the doppelganger that can see the doppelganger.
Failure: The target has the Frightened condition and re-
peats the save at the end of each of its turns, ending the
effect on itself on a success. After 1 minute, it succeeds
automatically.
Bonus Actions
Shape-Shift. The doppelganger shape-shifts into a Me-
dium or Small Humanoid, or it returns to its true form.
Its game statistics, other than its size, are the same in
each form. Any equipment it is wearing or carrying isnâ€™t
transformed.</t>
  </si>
  <si>
    <t>Dragon Turtle</t>
  </si>
  <si>
    <t>356 (23d20 + 115)</t>
  </si>
  <si>
    <t>Speed 20 ft., Swim 50 ft.</t>
  </si>
  <si>
    <t>Darkvision 120 ft.; Passive Perception 11</t>
  </si>
  <si>
    <t>Draconic, Primordial (Aquan)</t>
  </si>
  <si>
    <t>Dragon Turtle
Gargantuan Dragon, Neutral
AC 20		                   Initiative +6 (16)
HP 356 (23d20 + 115)
Speed 20 ft., Swim 50 ft.
MOD SAVE            MOD SAVE             MOD SAVE
Str 25 +7 +7         Dex 10 +0 +0        Con 20 +5 +11
Int 10 +0 +0         Wis 12 +1 +7        Cha 12 +1 +1
Resistances Fire
Senses Darkvision 120 ft.; Passive Perception 11
Languages Draconic, Primordial (Aquan)
CR 17 (XP 18,000; PB +6)
Traits
Amphibious. The dragon can breathe air and water.
Actions
Multiattack. The dragon makes three Bite attacks. It
can replace one attack with a Tail attack.
Bite. Melee Attack Roll: +13, reach 15 ft. Hit: 23
(3d10 + 7) Piercing damage plus 7 (2d6) Fire damage.
Being underwater doesnâ€™t grant Resistance to this
Fire damage.
Tail. Melee Attack Roll: +13, reach 15 ft. Hit: 18 (2d10
+ 7) Bludgeoning damage. If the target is a Huge or
smaller creature, it has the Prone condition.
Steam Breath (Recharge 5â€“6). Constitution Saving
Throw: DC 19, each creature in a 60-foot Cone. Failure:
56 (16d6) Fire damage. Success: Half damage. Failure or
Success: Being underwater doesnâ€™t grant Resistance to
this Fire damage.</t>
  </si>
  <si>
    <t>Dretch</t>
  </si>
  <si>
    <t>18 (4d6 + 4)</t>
  </si>
  <si>
    <t>Cold, Fire, Lightning</t>
  </si>
  <si>
    <t>Abyssal; telepathy 60 ft. (works only with creatures that understand Abyssal)</t>
  </si>
  <si>
    <t>Dretch
Small Fiend (Demon), Chaotic Evil
AC 11		                    Initiative +0 (10)
HP 18 (4d6 + 4)
Speed 20 ft.
MOD SAVE            MOD SAVE             MOD SAVE
Str 12 +1 +1         Dex 11 +0 +0        Con 12 +1 +1
Int 5 âˆ’3 âˆ’3          Wis 8 âˆ’1 âˆ’1         Cha 3 âˆ’4 âˆ’4
Resistances Cold, Fire, Lightning
Immunities Poison; Poisoned
Senses Darkvision 60 ft.; Passive Perception 9
Languages Abyssal; telepathy 60 ft. (works only with
creatures that understand Abyssal)
CR 1/4 (XP 50; PB +2)
Actions
Rend. Melee Attack Roll: +3, reach 5 ft. Hit: 4 (1d6 + 1)
Slashing damage.
Fetid Cloud (1/Day). Constitution Saving Throw: DC 11,
each creature in a 10-foot Emanation originating from
the dretch. Failure: The target has the Poisoned condi-
tion until the end of its next turn. While Poisoned, the
creature can take either an action or a Bonus Action on
its turn, not both, and it canâ€™t take Reactions.</t>
  </si>
  <si>
    <t>Drider</t>
  </si>
  <si>
    <t>Perception +6, Stealth +10</t>
  </si>
  <si>
    <t>Darkvision 120 ft.; Passive Perception 16</t>
  </si>
  <si>
    <t>Elvish, Undercommon</t>
  </si>
  <si>
    <t>Drider
Large Monstrosity, Chaotic Evil
AC 19		                    Initiative +4 (14)
HP 123 (13d10 + 52)
Speed 30 ft., Climb 30 ft.
MOD SAVE             MOD SAVE            MOD SAVE
Str 16 +3 +3         Dex 19 +4 +4         Con 18 +4 +4
Int 13 +1 +1         Wis 16 +3 +3         Cha 12 +1 +1
Skills Perception +6, Stealth +10
Senses Darkvision 120 ft.; Passive Perception 16
Languages Elvish, Undercommon
CR 6 (XP 2,300; PB +3)
Traits
Spider Climb. The drider can climb difficult surfaces,
including along ceilings, without needing to make an
ability check.
Sunlight Sensitivity. While in sunlight, the drider has
Disadvantage on ability checks and attack rolls.
Web Walker. The drider ignores movement restrictions
caused by webs, and the drider knows the location of
any other creature in contact with the same web.
Actions
Multiattack. The drider makes three attacks, using
Foreleg or Poison Burst in any combination.
Foreleg. Melee Attack Roll: +7, reach 10 ft. Hit: 13 (2d8
+ 4) Piercing damage.
Poison Burst. Ranged Attack Roll: +6, range 120 ft. Hit:
13 (3d6 + 3) Poison damage.
Bonus Actions
Magic of the Spider Queen (Recharge 5â€“6). The drider
casts Darkness, Faerie Fire, or Web, requiring no Mate-
rial components and using Wisdom as the spellcasting
ability (spell save DC 14).</t>
  </si>
  <si>
    <t>Druid</t>
  </si>
  <si>
    <t>Medicine +5, Nature +3, Perception +5</t>
  </si>
  <si>
    <t>Studded Leather Armor</t>
  </si>
  <si>
    <t>Passive Perception 15</t>
  </si>
  <si>
    <t>Common, Druidic, Sylvan</t>
  </si>
  <si>
    <t>Druid
Medium or Small Humanoid (Druid), Neutral
AC 13		                   Initiative +1 (11)
HP 44 (8d8 + 8)
Speed 30 ft.
MOD SAVE            MOD SAVE            MOD SAVE
Str 10 +0 +0         Dex 12 +1 +1        Con 13 +1 +1
Int 12 +1 +1         Wis 16 +3 +3        Cha 11 +0 +0
Skills Medicine +5, Nature +3, Perception +5
Gear Studded Leather Armor
Senses Passive Perception 15
Languages Common, Druidic, Sylvan
CR 2 (XP 450; PB +2)
Actions
Multiattack. The druid makes two attacks, using Vine
Staff or Verdant Wisp in any combination.
Vine Staff. Melee Attack Roll: +5, reach 5 ft. Hit: 7 (1d8
+ 3) Bludgeoning damage plus 2 (1d4) Poison damage.
Verdant Wisp. Ranged Attack Roll: +5, range 90 ft. Hit:
10 (3d6) Radiant damage.
Spellcasting. The druid casts one of the following
spells, using Wisdom as the spellcasting ability (spell
save DC 13):
At Will: Druidcraft, Speak with Animals
2/Day Each: Entangle, Thunderwave
1/Day Each: Animal Messenger, Long-
strider, Moonbeam</t>
  </si>
  <si>
    <t>Dryad</t>
  </si>
  <si>
    <t>22 (5d8)</t>
  </si>
  <si>
    <t>Perception +4, Stealth +5</t>
  </si>
  <si>
    <t>Dryad
Medium Fey, Neutral
AC 16		                   Initiative +1 (11)
HP 22 (5d8)
Speed 30 ft.
MOD SAVE            MOD SAVE            MOD SAVE
Str 10 +0 +0         Dex 12 +1 +1        Con 11 +0 +0
Int 14 +2 +2         Wis 15 +2 +2        Cha 18 +4 +4
Skills Perception +4, Stealth +5
Senses Darkvision 60 ft.; Passive Perception 14
Languages Elvish, Sylvan
CR 1 (XP 200; PB +2)
Traits
Magic Resistance. The dryad has Advantage on saving
throws against spells and other magical effects.
Speak with Beasts and Plants. The dryad can com-
municate with Beasts and Plants as if they shared
a language.
Actions
Multiattack. The dryad makes one Vine Lash or
Thorn Burst attack, and it can use Spellcasting to cast
Charm Monster.
Vine Lash. Melee Attack Roll: +6, reach 10 ft. Hit: 8
(1d8 + 4) Slashing damage.
Thorn Burst. Ranged Attack Roll: +6, range 60 ft. Hit: 7
(1d6 + 4) Piercing damage.
Spellcasting. The dryad casts one of the following
spells, requiring no Material components and using
Charisma as the spellcasting ability (spell save DC 14):
At Will: Animal Friendship, Charm Monster (lasts 24
hours; ends early if the dryad casts the spell again),
Druidcraft
1/Day Each: Entangle, Pass without Trace
Bonus Actions
Tree Stride. If within 5 feet of a Large or bigger tree, the
dryad teleports to an unoccupied space within 5 feet
of a second Large or bigger tree that is within 60 feet of
the previous tree.</t>
  </si>
  <si>
    <t>Earth Elemental</t>
  </si>
  <si>
    <t>147 (14d10 + 70)</t>
  </si>
  <si>
    <t>Speed 30 ft., Burrow 30 ft.</t>
  </si>
  <si>
    <t>Thunder</t>
  </si>
  <si>
    <t>Poison; Exhaustion, Paralyzed, Petrified, Poisoned, Unconscious</t>
  </si>
  <si>
    <t>Darkvision 60 ft., Tremorsense 60 ft.; Passive Perception 10</t>
  </si>
  <si>
    <t>Primordial (Terran)</t>
  </si>
  <si>
    <t>Earth Elemental
Large Elemental, Neutral
AC 17		                     Initiative âˆ’1 (9)
HP 147 (14d10 + 70)
Speed 30 ft., Burrow 30 ft.
MOD SAVE             MOD SAVE            MOD SAVE
Str 20 +5 +5         Dex 8 âˆ’1 âˆ’1           Con 20 +5 +5
Int 5 âˆ’3 âˆ’3          Wis 10 +0 +0          Cha 5 âˆ’3 âˆ’3
Vulnerabilities Thunder
Immunities Poison; Exhaustion, Paralyzed, Petrified,
Poisoned, Unconscious
Senses Darkvision 60 ft., Tremorsense 60 ft.;
Passive Perception 10
Languages Primordial (Terran)
CR 5 (XP 1,800; PB +3)
Traits
Earth Glide. The elemental can burrow through
nonmagical, unworked earth and stone. While do-
ing so, the elemental doesnâ€™t disturb the material it
moves through.
Siege Monster. The elemental deals double damage to
objects and structures.
Actions
Multiattack. The elemental makes two attacks, using
Slam or Rock Launch in any combination.
Slam. Melee Attack Roll: +8, reach 10 ft. Hit: 14 (2d8
+ 5) Bludgeoning damage.
Rock Launch. Ranged Attack Roll: +8, range 60 ft. Hit:
8 (1d6 + 5) Bludgeoning damage. If the target is a Large
or smaller creature, it has the Prone condition.</t>
  </si>
  <si>
    <t>Efreeti</t>
  </si>
  <si>
    <t>212 (17d10 + 119)</t>
  </si>
  <si>
    <t>Speed 40 ft., Fly 60 ft. (hover)</t>
  </si>
  <si>
    <t>Efreeti
Large Elemental (Genie), Neutral
AC 17		                      Initiative +1 (11)
HP 212 (17d10 + 119)
Speed 40 ft., Fly 60 ft. (hover)
MOD SAVE              MOD SAVE           MOD SAVE
Str 22 +6 +6          Dex 12 +1 +1          Con 24 +7 +7
Int 16 +3 +3          Wis 15 +2 +6          Cha 19 +4 +8
Immunities Fire
Senses Darkvision 120 ft.; Passive Perception 12
Languages Primordial (Ignan)
CR 11 (XP 7,200; PB +4)
Traits
Elemental Restoration. If the efreeti dies outside the
Elemental Plane of Fire, its body dissolves into ash, and
it gains a new body in 1d4 days, reviving with all its Hit
Points somewhere on the Plane of Fire.
Magic Resistance. The efreeti has Advantage on saving
throws against spells and other magical effects.
Wishes. The efreeti has a 30 percent chance of know-
ing the Wish spell. If the efreeti knows it, the efreeti
can cast it only on behalf of a non-genie creature who
communicates a wish in a way the efreeti can under-
stand. If the efreeti casts the spell for the creature, the
efreeti suffers none of the spellâ€™s stress. Once the efreeti
has cast it three times, the efreeti canâ€™t do so again
for 365 days.
Actions
Multiattack. The efreeti makes three attacks, using
Heated Blade or Hurl Flame in any combination.
Heated Blade. Melee Attack Roll: +10, reach 5 ft.
Hit: 13 (2d6 + 6) Slashing damage plus 13 (2d12)
Fire damage.
Hurl Flame. Ranged Attack Roll: +8, range 120 ft. Hit:
24 (7d6) Fire damage.
Spellcasting. The efreeti casts one of the following
spells, requiring no Material components and using
Charisma as the spellcasting ability (spell save DC 16):
At Will: Detect Magic, Elementalism
1/Day Each: Gaseous Form, Invisibility, Major Image,
Plane Shift, Tongues, Wall of Fire (level 7 version)</t>
  </si>
  <si>
    <t>Erinyes</t>
  </si>
  <si>
    <t>178 (21d8 + 84)</t>
  </si>
  <si>
    <t>Perception +6, Persuasion +8</t>
  </si>
  <si>
    <t>Truesight 120 ft.; Passive Perception 16</t>
  </si>
  <si>
    <t>Erinyes
Medium Fiend (Devil), Lawful Evil
AC 18		                    Initiative +7 (17)
HP 178 (21d8 + 84)
Speed 30 ft., Fly 60 ft.
MOD SAVE            MOD SAVE             MOD SAVE
Str 18 +4 +4          Dex 16 +3 +7       Con 18 +4 +8
Int 14 +2 +2          Wis 14 +2 +2       Cha 18 +4 +8
Skills Perception +6, Persuasion +8
Resistances Cold
Immunities Fire, Poison; Poisoned
Senses Truesight 120 ft.; Passive Perception 16
Languages Infernal; telepathy 120 ft.
CR 12 (XP 8,400; PB +4)
Traits
Diabolical Restoration. If the erinyes dies outside the
Nine Hells, its body disappears in sulfurous smoke, and
it gains a new body instantly, reviving with all its Hit
Points somewhere in the Nine Hells.
Magic Resistance. The erinyes has Advantage on saving
throws against spells and other magical effects.
Magic Rope. The erinyes has a magic rope. While bear-
ing it, the erinyes can use the Entangling Rope action.
The rope has AC 20, HP 90, and Immunity to Poison
and Psychic damage. The rope turns to dust if reduced
to 0 Hit Points, if it is 5+ feet away from the erinyes
for 1 hour or more, or if the erinyes dies. If the rope is
damaged or destroyed, the erinyes can fully restore it
when finishing a Short or Long Rest.
Actions
Multiattack. The erinyes makes three Withering Sword
attacks and can use Entangling Rope.
Withering Sword. Melee Attack Roll: +8, reach 5 ft.
Hit: 13 (2d8 + 4) Slashing damage plus 11 (2d10) Ne-
crotic damage.
Entangling Rope (Requires Magic Rope). Strength
Saving Throw: DC 16, one creature the erinyes can see
within 120 feet. Failure: 14 (4d6) Force damage, and the
target has the Restrained condition until the rope is de-
stroyed, the erinyes uses a Bonus Action to release the
target, or the erinyes uses Entangling Rope again.
Reactions
Parry. Trigger: The erinyes is hit by a melee attack roll
while holding a weapon. Response: The erinyes adds 4
to its AC against that attack, possibly causing it to miss.</t>
  </si>
  <si>
    <t>Ettercap</t>
  </si>
  <si>
    <t>Perception +3, Stealth +4, Survival +3</t>
  </si>
  <si>
    <t>Darkvision 60 ft.; Passive Perception 13</t>
  </si>
  <si>
    <t>Ettercap
Medium Monstrosity, Neutral Evil
AC 13 		                   Initiative +2 (12)
HP 44 (8d8 + 8)
Speed 30 ft., Climb 30 ft.
MOD SAVE             MOD SAVE           MOD SAVE
Str 14 +2 +2         Dex 15 +2 +2          Con 13 +1 +1
Int 7 âˆ’2 âˆ’2          Wis 12 +1 +1          Cha 8 âˆ’1 âˆ’1
Skills Perception +3, Stealth +4, Survival +3
Senses Darkvision 60 ft.; Passive Perception 13
Languages None
CR 2 (XP 450; PB +2)
Traits
Spider Climb. The ettercap can climb difficult surfaces,
including along ceilings, without needing to make an
ability check.
Web Walker. The ettercap ignores movement re-
strictions caused by webs, and the ettercap knows
the location of any other creature in contact with
the same web.
Actions
Multiattack. The ettercap makes one Bite attack and
one Claw attack.
Bite. Melee Attack Roll: +4, reach 5 ft. Hit: 5 (1d6 + 2)
Piercing damage plus 2 (1d4) Poison damage, and the
target has the Poisoned condition until the start of the
ettercapâ€™s next turn.
Claw. Melee Attack Roll: +4, reach 5 ft. Hit: 7 (2d4 + 2)
Slashing damage.
Web Strand (Recharge 5â€“6). Dexterity Saving Throw:
DC 12, one Large or smaller creature the ettercap can
see within 30 feet. Failure: The target has the Restrained
condition until the web is destroyed (AC 10; HP 5;
Vulnerability to Fire damage; Immunity to Bludgeoning,
Poison, and Psychic damage).
Bonus Actions
Reel. The ettercap pulls one creature within 30 feet of
itself that is Restrained by its Web Strand up to 25 feet
straight toward itself.</t>
  </si>
  <si>
    <t>Ettin</t>
  </si>
  <si>
    <t>85 (10d10 + 30)</t>
  </si>
  <si>
    <t>Battleaxe, Morningstar</t>
  </si>
  <si>
    <t>Ettin
Large Giant, Chaotic Evil
AC 12 		                    Initiative âˆ’1 (9)
HP 85 (10d10 + 30)
Speed 40 ft.
MOD SAVE
Str 21 +5 +5
MOD SAVE
Dex 8 âˆ’1 âˆ’1
MOD SAVE
Con 17 +3 +3
Int 6 âˆ’2 âˆ’2          Wis 10 +0 +0         Cha 8 âˆ’1 âˆ’1
Skills Perception +4
Immunities Blinded, Charmed, Deafened, Frightened,
Stunned, Unconscious
Gear Battleaxe, Morningstar
Senses Darkvision 60 ft.; Passive Perception 14
Languages Giant
CR 4 (XP 1,100; PB +2)
Actions
Multiattack. The ettin makes one Battleaxe attack and
one Morningstar attack.
Battleaxe. Melee Attack Roll: +7, reach 5 ft. Hit: 14
(2d8 + 5) Slashing damage. If the target is a Large or
smaller creature, it has the Prone condition.
Morningstar. Melee Attack Roll: +7, reach 5 ft. Hit: 14
(2d8 + 5) Piercing damage, and the target has Disad-
vantage on the next attack roll it makes before the end
of its next turn.</t>
  </si>
  <si>
    <t>Fire Elemental</t>
  </si>
  <si>
    <t>93 (11d10 + 33)</t>
  </si>
  <si>
    <t>Fire, Poison; Exhaustion, Grappled, Paralyzed, Petrified, Poisoned, Prone, Restrained, Unconscious</t>
  </si>
  <si>
    <t>Fire Elemental
Large Elemental, Neutral
AC 13		                    Initiative +3 (13)
HP 93 (11d10 + 33)
Speed 50 ft.
MOD SAVE            MOD SAVE           MOD SAVE
Str 10 +0 +0         Dex 17 +3 +3         Con 16 +3 +3
Int 6 âˆ’2 âˆ’2          Wis 10 +0 +0         Cha 7 âˆ’2 âˆ’2
Resistances Bludgeoning, Piercing, Slashing
Immunities Fire, Poison; Exhaustion, Grappled, Paralyzed,
Petrified, Poisoned, Prone, Restrained, Unconscious
Senses Darkvision 60 ft.; Passive Perception 10
Languages Primordial (Ignan)
CR 5 (XP 1,800; PB +3)
Traits
Fire Aura. At the end of each of the elementalâ€™s turns,
each creature in a 10-foot Emanation originating from
the elemental takes 5 (1d10) Fire damage. Creatures and
flammable objects in the Emanation start burning.
Fire Form. The elemental can move through a space as
narrow as 1 inch without expending extra movement
to do so, and it can enter a creatureâ€™s space and stop
there. The first time it enters a creatureâ€™s space on a
turn, that creature takes 5 (1d10) Fire damage.
Illumination. The elemental sheds Bright Light in a 30-
foot radius and Dim Light for an additional 30 feet.
Water Susceptibility. The elemental takes 3 (1d6) Cold
damage for every 5 feet the elemental moves in water
or for every gallon of water splashed on it.
Actions
Multiattack. The elemental makes two Burn attacks.
Burn. Melee Attack Roll: +6, reach 5 ft. Hit: 10 (2d6 +
3) Fire damage. If the target is a creature or a flammable
object, it starts burning.</t>
  </si>
  <si>
    <t>Fire Giant</t>
  </si>
  <si>
    <t>162 (13d12 + 78)</t>
  </si>
  <si>
    <t>Athletics +11, Perception +6</t>
  </si>
  <si>
    <t>Fire Giant
Huge Giant, Lawful Evil
AC 18		                    Initiative +3 (13)
HP 162 (13d12 + 78)
Speed 30 ft.
MOD SAVE            MOD SAVE           MOD SAVE
Str 25 +7 +7         Dex 9 âˆ’1 +3          Con 23 +6 +10
Int 10 +0 +0         Wis 14 +2 +2         Cha 13 +1 +5
Skills Athletics +11, Perception +6
Immunities Fire
Senses Passive Perception 16
Languages Giant
CR 9 (XP 5,000; PB +4)
Actions
Multiattack. The giant makes two attacks, using Flame
Sword or Hammer Throw in any combination.
Flame Sword. Melee Attack Roll: +11, reach 10 ft.
Hit: 21 (4d6 + 7) Slashing damage plus 10 (3d6)
Fire damage.
Hammer Throw. Ranged Attack Roll: +11, range 60/240
ft. Hit: 23 (3d10 + 7) Bludgeoning damage plus 4 (1d8)
Fire damage, and the target is pushed up to 15 feet
straight away from the giant and has Disadvantage
on the next attack roll it makes before the end of its
next turn.</t>
  </si>
  <si>
    <t>Flesh Golem</t>
  </si>
  <si>
    <t>127 (15d8 + 60)</t>
  </si>
  <si>
    <t>Lightning, Poison; Charmed, Exhaustion, Frightened, Paralyzed, Petrified, Poisoned</t>
  </si>
  <si>
    <t>Understands Common plus one other language but canâ€™t speak</t>
  </si>
  <si>
    <t>Flesh Golem
Medium Construct, Neutral
AC 9		                     Initiative âˆ’1 (9)
HP 127 (15d8 + 60)
Speed 30 ft.
MOD SAVE            MOD SAVE           MOD SAVE
Str 19 +4 +4         Dex 9 âˆ’1 âˆ’1          Con 18 +4 +4
Int 6 âˆ’2 âˆ’2          Wis 10 +0 +0         Cha 5 âˆ’3 âˆ’3
Immunities Lightning, Poison; Charmed, Exhaustion,
Frightened, Paralyzed, Petrified, Poisoned
Senses Darkvision 60 ft.; Passive Perception 10
Languages Understands Common plus one other language
but canâ€™t speak
CR 5 (XP 1,800; PB +3)
Traits
Aversion to Fire. If the golem takes Fire damage, it has
Disadvantage on attack rolls and ability checks until the
end of its next turn.
Berserk. Whenever the golem starts its turn Bloodied,
roll 1d6. On a 6, the golem goes berserk. On each of
its turns while berserk, the golem attacks the nearest
creature it can see. If no creature is near enough to
move to and attack, the golem attacks an object. Once
the golem goes berserk, it remains so until it is de-
stroyed or it is no longer Bloodied.
The golemâ€™s creator, if within 60 feet of the berserk
golem, can try to calm it by taking an action to make a
DC 15 Charisma (Persuasion) check; the golem must be
able to hear its creator. If this check succeeds, the go-
lem ceases being berserk until the start of its next turn,
at which point it resumes rolling for the Berserk trait
again if it is still Bloodied.
Immutable Form. The golem canâ€™t shape-shift.
Lightning Absorption. Whenever the golem is sub-
jected to Lightning damage, it regains a number of Hit
Points equal to the Lightning damage dealt.
Magic Resistance. The golem has Advantage on saving
throws against spells and other magical effects.
Actions
Multiattack. The golem makes two Slam attacks.
Slam. Melee Attack Roll: +7, reach 5 ft. Hit: 13 (2d8 +
4) Bludgeoning damage plus 4 (1d8) Lightning damage.</t>
  </si>
  <si>
    <t>Frost Giant</t>
  </si>
  <si>
    <t>149 (13d12 + 65)</t>
  </si>
  <si>
    <t>Athletics +9, Perception +3</t>
  </si>
  <si>
    <t>Frost Giant
Huge Giant, Neutral Evil
AC 15		                    Initiative +2 (12)
HP 149 (13d12 + 65)
Speed 40 ft.
MOD SAVE            MOD SAVE            MOD SAVE
Str 23 +6 +6         Dex 9 âˆ’1 âˆ’1          Con 21 +5 +8
Int 9 âˆ’1 âˆ’1          Wis 10 +0 +3         Cha 12 +1 +4
Skills Athletics +9, Perception +3
Immunities Cold
Senses Passive Perception 13
Languages Giant
CR 8 (XP 3,900; PB +3)
Actions
Multiattack. The giant makes two attacks, using Frost
Axe or Great Bow in any combination.
Frost Axe. Melee Attack Roll: +9, reach 10 ft. Hit: 19
(2d12 + 6) Slashing damage plus 9 (2d8) Cold damage.
Great Bow. Ranged Attack Roll: +9, range 150/600 ft.
Hit: 17 (2d10 + 6) Piercing damage plus 7 (2d6) Cold
damage, and the targetâ€™s Speed decreases by 10 feet
until the end of its next turn.
Bonus Actions
War Cry (Recharge 5â€“6). The giant or one creature of
its choice that can see or hear it gains 16 (2d10 + 5)
Temporary Hit Points and has Advantage on attack rolls
until the start of the giantâ€™s next turn.</t>
  </si>
  <si>
    <t>Shrieker Fungus</t>
  </si>
  <si>
    <t>Fungi</t>
  </si>
  <si>
    <t>13 (3d8)</t>
  </si>
  <si>
    <t>Speed 5 ft.</t>
  </si>
  <si>
    <t>Blinded, Charmed, Deafened, Frightened</t>
  </si>
  <si>
    <t>Blindsight 30 ft.; Passive Perception 6</t>
  </si>
  <si>
    <t>Shrieker Fungus
Medium Plant, Unaligned
AC 5		                     Initiative âˆ’5 (5)
HP 13 (3d8)
Speed 5 ft.
MOD SAVE            MOD SAVE            MOD SAVE
Str 1 âˆ’5 âˆ’5          Dex 1 âˆ’5 âˆ’5          Con 10 +0 +0
Int 1 âˆ’5 âˆ’5          Wis 3 âˆ’4 âˆ’4          Cha 1 âˆ’5 âˆ’5
Immunities Blinded, Charmed, Deafened, Frightened
Senses Blindsight 30 ft.; Passive Perception 6
Languages None
CR 0 (XP 0; PB +2)
Reactions
Shriek. Trigger: A creature or a source of Bright Light
moves within 30 feet of the shrieker. Response: The
shrieker emits a shriek audible within 300 feet of itself
for 1 minute or until the shrieker dies.</t>
  </si>
  <si>
    <t>Violet Fungus</t>
  </si>
  <si>
    <t>18 (4d8)</t>
  </si>
  <si>
    <t>Violet Fungus
Medium Plant, Unaligned
AC 5		                     Initiative âˆ’5 (5)
HP 18 (4d8)
Speed 5 ft.
MOD SAVE            MOD SAVE           MOD SAVE
Str 3 âˆ’4 âˆ’4           Dex 1 âˆ’5 âˆ’5         Con 10 +0 +0
Int 1 âˆ’5 âˆ’5           Wis 3 âˆ’4 âˆ’4         Cha 1 âˆ’5 âˆ’5
Immunities Blinded, Charmed, Deafened, Frightened
Senses Blindsight 30 ft.; Passive Perception 6
Languages None
CR 1/4 (XP 50; PB +2)
Actions
Multiattack. The fungus makes two Rotting
Touch attacks.
Rotting Touch. Melee Attack Roll: +2, reach 10 ft. Hit:
4 (1d8) Necrotic damage.</t>
  </si>
  <si>
    <t>Gargoyle</t>
  </si>
  <si>
    <t>Stealth +4</t>
  </si>
  <si>
    <t>Poison; Exhaustion, Petrified, Poisoned</t>
  </si>
  <si>
    <t>Gargoyle
Medium Elemental, Chaotic Evil
AC 15		                    Initiative +2 (12)
HP 67 (9d8 + 27)
Speed 30 ft., Fly 60 ft.
MOD SAVE            MOD SAVE           MOD SAVE
Str 15 +2 +2          Dex 11 +0 +0        Con 16 +3 +3
Int 6 âˆ’2 âˆ’2           Wis 11 +0 +0        Cha 7 âˆ’2 âˆ’2
Skills Stealth +4
Immunities Poison; Exhaustion, Petrified, Poisoned
Senses Darkvision 60 ft.; Passive Perception 10
Languages Primordial (Terran)
CR 2 (XP 450; PB +2)
Traits
Flyby. The gargoyle doesnâ€™t provoke an Opportunity
Attack when it flies out of an enemyâ€™s reach.
Actions
Multiattack. The gargoyle makes two Claw attacks.
Claw. Melee Attack Roll: +4, reach 5 ft. Hit: 7 (2d4 + 2)
Slashing damage.</t>
  </si>
  <si>
    <t>Gelatinous Cube</t>
  </si>
  <si>
    <t>63 (6d10 + 30)</t>
  </si>
  <si>
    <t>Speed 15 ft.</t>
  </si>
  <si>
    <t>Acid; Blinded, Charmed, Deafened, Exhaustion, Frightened, Prone</t>
  </si>
  <si>
    <t>Gelatinous Cube
Large Ooze, Unaligned
AC 6		                     Initiative âˆ’4 (6)
HP 63 (6d10 + 30)
Speed 15 ft.
MOD SAVE            MOD SAVE           MOD SAVE
Str 14 +2 +2         Dex 3 âˆ’4 âˆ’4         Con 20 +5 +5
Int 1 âˆ’5 âˆ’5          Wis 6 âˆ’2 âˆ’2         Cha 1 âˆ’5 âˆ’5
Immunities Acid; Blinded, Charmed, Deafened,
Exhaustion, Frightened, Prone
Senses Blindsight 60 ft.; Passive Perception 8
Languages None
CR 2 (XP 450; PB +2)
Traits
Ooze Cube. The cube fills its entire space and is trans-
parent. Other creatures can enter that space, but a
creature that does so is subjected to the cubeâ€™s Engulf
and has Disadvantage on the saving throw.
Creatures inside the cube have Total Cover, and the
cube can hold one Large creature or up to four Medium
or Small creatures inside itself at a time.
As an action, a creature within 5 feet of the cube can
pull a creature or an object out of the cube by suc-
ceeding on a DC 12 Strength (Athletics) check, and the
puller takes 10 (3d6) Acid damage.
Transparent. Even when the cube is in plain sight, a
creature must succeed on a DC 15 Wisdom (Percep-
tion) check to notice the cube if the creature hasnâ€™t wit-
nessed the cube move or otherwise act.
Actions
Pseudopod. Melee Attack Roll: +4, reach 5 ft. Hit: 12
(3d6 + 2) Acid damage.
Engulf. The cube moves up to its Speed without
provoking Opportunity Attacks. The cube can move
through the spaces of Large or smaller creatures if it has
room inside itself to contain them (see the Ooze Cube
trait). Dexterity Saving Throw: DC 12, each creature
whose space the cube enters for the first time during
this move. Failure: 10 (3d6) Acid damage, and the target
is engulfed. An engulfed target is suffocating, canâ€™t cast
spells with a Verbal component, has the Restrained
condition, and takes 10 (3d6) Acid damage at the start
of each of the cubeâ€™s turns. When the cube moves,
the engulfed target moves with it. An engulfed target
can try to escape by taking an action to make a DC
12 Strength (Athletics) check. On a successful check,
the target escapes and enters the nearest unoccupied
space. Success: Half damage, and the target moves to
an unoccupied space within 5 feet of the cube. If there
is no unoccupied space, the target fails the save instead.</t>
  </si>
  <si>
    <t>Ghast</t>
  </si>
  <si>
    <t>Undead</t>
  </si>
  <si>
    <t>36 (8d8)</t>
  </si>
  <si>
    <t>Necrotic</t>
  </si>
  <si>
    <t>Poison; Charmed, Exhaustion, Poisoned</t>
  </si>
  <si>
    <t>Ghast
Medium Undead, Chaotic Evil
AC 13		                   Initiative +3 (13)
HP 36 (8d8)
Speed 30 ft.
MOD SAVE              MOD SAVE           MOD SAVE
Str 16 +3 +3          Dex 17 +3 +3          Con 10 +0 +0
Int 11 +0 +0          Wis 10 +0 +2          Cha 8 âˆ’1 âˆ’1
Resistances Necrotic
Immunities Poison; Charmed, Exhaustion, Poisoned
Senses Darkvision 60 ft.; Passive Perception 10
Languages Common
CR 2 (XP 450; PB +2)
Traits
Stench. Constitution Saving Throw: DC 10, any creature
that starts its turn in a 5-foot Emanation originating from
the ghast. Failure: The target has the Poisoned condi-
tion until the start of its next turn. Success: The target is
immune to this ghastâ€™s Stench for 24 hours.
Actions
Bite. Melee Attack Roll: +5, reach 5 ft. Hit: 7 (1d8 + 3)
Piercing damage plus 9 (2d8) Necrotic damage.
Claw. Melee Attack Roll: +5, reach 5 ft. Hit: 10 (2d6
+ 3) Slashing damage. If the target is a non-Undead
creature, it is subjected to the following effect. Consti-
tution Saving Throw: DC 10. Failure: The target has the
Paralyzed condition until the end of its next turn.</t>
  </si>
  <si>
    <t>Ghost</t>
  </si>
  <si>
    <t>45 (10d8)</t>
  </si>
  <si>
    <t>Speed 5 ft., Fly 40 ft. (hover)</t>
  </si>
  <si>
    <t>Acid, Bludgeoning, Cold, Fire, Lightning, Piercing, Slashing, Thunder</t>
  </si>
  <si>
    <t>Necrotic, Poison; Charmed, Exhaustion, Frightened, Grappled, Paralyzed, Petrified, Poisoned, Prone, Restrained</t>
  </si>
  <si>
    <t>Ghost
Medium Undead, Neutral
AC 11		                      Initiative +1 (11)
HP 45 (10d8)
Speed 5 ft., Fly 40 ft. (hover)
MOD SAVE              MOD SAVE           MOD SAVE
Str 7 âˆ’2 âˆ’2           Dex 13 +1 +1          Con 10 +0 +0
Int 10 +0 +0          Wis 12 +1 +1          Cha 17 +3 +3
Resistances Acid, Bludgeoning, Cold, Fire, Lightning,
Piercing, Slashing, Thunder
Immunities Necrotic, Poison; Charmed, Exhaustion,
Frightened, Grappled, Paralyzed, Petrified, Poisoned,
Prone, Restrained
Senses Darkvision 60 ft.; Passive Perception 11
Languages Common plus one other language
CR 4 (XP 1,100; PB +2)
Traits
Ethereal Sight. The ghost can see 60 feet into the Ethe-
real Plane when it is on the Material Plane.
Incorporeal Movement. The ghost can move through
other creatures and objects as if they were Difficult
Terrain. It takes 5 (1d10) Force damage if it ends its turn
inside an object.
Actions
Multiattack. The ghost makes two Withering
Touch attacks.
Withering Touch. Melee Attack Roll: +5, reach 5 ft.
Hit: 19 (3d10 + 3) Necrotic damage.
Etherealness. The ghost casts the Etherealness spell,
requiring no spell components and using Charisma as
the spellcasting ability. The ghost is visible on the Mate-
rial Plane while on the Border Ethereal and vice versa,
but it canâ€™t affect or be affected by anything on the
other plane.
Horrific Visage. Wisdom Saving Throw: DC 13, each
creature in a 60-foot Cone that can see the ghost and
isnâ€™t an Undead. Failure: 10 (2d6 + 3) Psychic damage,
and the target has the Frightened condition until the
start of the ghostâ€™s next turn. Success: The target is im-
mune to this ghostâ€™s Horrific Visage for 24 hours.
Possession (Recharge 6). Charisma Saving Throw: DC
13, one Humanoid the ghost can see within 5 feet. Fail-
ure: The target is possessed by the ghost; the ghost dis-
appears, and the target has the Incapacitated condition
and loses control of its body. The ghost now controls
the body, but the target retains awareness. The ghost
canâ€™t be targeted by any attack, spell, or other effect,
except ones that specifically target Undead. The ghostâ€™s
game statistics are the same, except it uses the pos-
sessed targetâ€™s Speed, as well as the targetâ€™s Strength,
Dexterity, and Constitution modifiers.
The possession lasts until the body drops to 0 Hit
Points or the ghost leaves as a Bonus Action. When the
possession ends, the ghost appears in an unoccupied
space within 5 feet of the target, and the target is im-
mune to this ghostâ€™s Possession for 24 hours.
Success: The target is immune to this ghostâ€™s Posses-
sion for 24 hours.</t>
  </si>
  <si>
    <t>Ghoul</t>
  </si>
  <si>
    <t>Ghoul
Medium Undead, Chaotic Evil
AC 12		                    Initiative +2 (12)
HP 22 (5d8)
Speed 30 ft.
MOD SAVE            MOD SAVE            MOD SAVE
Str 13 +1 +1         Dex 15 +2 +2         Con 10 +0 +0
Int 7 âˆ’2 âˆ’2          Wis 10 +0 +0         Cha 6 âˆ’2 âˆ’2
Immunities Poison; Charmed, Exhaustion, Poisoned
Senses Darkvision 60 ft.; Passive Perception 10
Languages Common
CR 1 (XP 200; PB +2)
Actions
Multiattack. The ghoul makes two Bite attacks.
Bite. Melee Attack Roll: +4, reach 5 ft. Hit: 5 (1d6 + 2)
Piercing damage plus 3 (1d6) Necrotic damage.
Claw. Melee Attack Roll: +4, reach 5 ft. Hit: 4 (1d4
+ 2) Slashing damage. If the target is a creature that
isnâ€™t an Undead or elf, it is subjected to the following
effect. Constitution Saving Throw: DC 10. Failure: The
target has the Paralyzed condition until the end of its
next turn.</t>
  </si>
  <si>
    <t>Gibbering Mouther</t>
  </si>
  <si>
    <t>52 (7d8 + 21)</t>
  </si>
  <si>
    <t>Speed 20 ft., Swim 20 ft.</t>
  </si>
  <si>
    <t>Prone</t>
  </si>
  <si>
    <t>Gibbering Mouther
Medium Aberration, Chaotic Neutral
AC 9		                    Initiative âˆ’1 (9)
HP 52 (7d8 + 21)
Speed 20 ft., Swim 20 ft.
MOD SAVE            MOD SAVE             MOD SAVE
Str 10 +0 +0         Dex 8 âˆ’1 âˆ’1         Con 16 +3 +3
Int 3 âˆ’4 âˆ’4          Wis 10 +0 +0        Cha 6 âˆ’2 âˆ’2
Immunities Prone
Senses Darkvision 60 ft.; Passive Perception 10
Languages None
CR 2 (XP 450; PB +2)
Traits
Aberrant Ground. The ground in a 10-foot Emanation
originating from the mouther is Difficult Terrain.
Gibbering. The mouther babbles incoherently while
it doesnâ€™t have the Incapacitated condition. Wisdom
Saving Throw: DC 10, any creature that starts its turn
within 20 feet of the mouther while it is babbling.
Failure: The target rolls 1d8 to determine what it does
during the current turn:
1â€“4. The target does nothing.
5â€“6. The target takes no action or Bonus Action and
uses all its movement to move in a random direction.
7â€“8. The target makes a melee attack against a ran-
domly determined creature within its reach or does
nothing if it canâ€™t make such an attack.
Actions
Bite. Melee Attack Roll: +2, reach 5 ft. Hit: 7 (2d6)
Piercing damage. If the target is a Medium or smaller
creature, it has the Prone condition. The target dies if
it is reduced to 0 Hit Points by this attack. Its body is
then absorbed into the mouther, leaving only equip-
ment behind.
Blinding Spittle (Recharge 5â€“6). Dexterity Saving
Throw: DC 10, each creature in a 10-foot-radius Sphere
centered on a point within 30 feet. Failure: 7 (2d6) Ra-
diant damage, and the target has the Blinded condition
until the end of the moutherâ€™s next turn.</t>
  </si>
  <si>
    <t>Glabrezu</t>
  </si>
  <si>
    <t>189 (18d10 + 90)</t>
  </si>
  <si>
    <t>Deception +7, Perception +7</t>
  </si>
  <si>
    <t>Truesight 120 ft.; Passive Perception 17</t>
  </si>
  <si>
    <t>Glabrezu
Large Fiend (Demon), Chaotic Evil
AC 17		                    Initiative +6 (16)
HP 189 (18d10 + 90)
Speed 40 ft.
MOD SAVE            MOD SAVE            MOD SAVE
Str 20 +5 +9         Dex 15 +2 +2        Con 21 +5 +9
Int 19 +4 +4         Wis 17 +3 +7        Cha 16 +3 +7
Skills Deception +7, Perception +7
Resistances Cold, Fire, Lightning
Immunities Poison; Poisoned
Senses Truesight 120 ft.; Passive Perception 17
Languages Abyssal; telepathy 120 ft.
CR 9 (XP 5,000; PB +4)
Traits
Demonic Restoration. If the glabrezu dies outside the
Abyss, its body dissolves into ichor, and it gains a new
body instantly, reviving with all its Hit Points some-
where in the Abyss.
Magic Resistance. The glabrezu has Advantage on sav-
ing throws against spells and other magical effects.
Actions
Multiattack. The glabrezu makes two Pincer attacks
and uses Pummel or Spellcasting.
Pincer. Melee Attack Roll: +9, reach 10 ft. Hit: 16 (2d10
+ 5) Slashing damage. If the target is a Medium or
smaller creature, it has the Grappled condition (escape
DC 15) from one of two pincers.
Pummel. Dexterity Saving Throw: DC 17, one creature
Grappled by the glabrezu. Failure: 15 (3d6 + 5) Blud-
geoning damage. Success: Half damage.
Spellcasting. The glabrezu casts one of the following
spells, requiring no Material components and using In-
telligence as the spellcasting ability (spell save DC 16):
At Will: Darkness, Detect Magic, Dispel Magic
1/Day Each: Confusion, Fly, Power Word Stun</t>
  </si>
  <si>
    <t>Gladiator</t>
  </si>
  <si>
    <t>112 (15d8 + 45)</t>
  </si>
  <si>
    <t>Athletics +10, Performance +5</t>
  </si>
  <si>
    <t>Shield, Spears (3), Studded Leather Armor</t>
  </si>
  <si>
    <t>Gladiator
Medium or Small Humanoid, Neutral
AC 16		                    Initiative +5 (15)
HP 112 (15d8 + 45)
Speed 30 ft.
MOD SAVE
Str 18 +4 +7
MOD SAVE
Dex 15 +2 +5
MOD SAVE
Con 16 +3 +6
Int 10 +0 +0         Wis 12 +1 +4        Cha 15 +2 +2
Skills Athletics +10, Performance +5
Gear Shield, Spears (3), Studded Leather Armor
Senses Passive Perception 11
Languages Common
CR 5 (XP 1,800; PB +3)
Actions
Multiattack. The gladiator makes three Spear attacks. It
can replace one attack with a use of Shield Bash.
Spear. Melee or Ranged Attack Roll: +7, reach 5 ft. or
range 20/60 ft. Hit: 11 (2d6 + 4) Piercing damage.
Shield Bash. Strength Saving Throw: DC 15, one crea-
ture within 5 feet that the gladiator can see. Failure: 9
(2d4 + 4) Bludgeoning damage. If the target is a Me-
dium or smaller creature, it has the Prone condition.
Reactions
Parry. Trigger: The gladiator is hit by a melee attack
roll while holding a weapon. Response: The gladiator
adds 3 to its AC against that attack, possibly causing
it to miss.</t>
  </si>
  <si>
    <t>Gnoll Warrior</t>
  </si>
  <si>
    <t>Gnoll</t>
  </si>
  <si>
    <t>27 (6d8)</t>
  </si>
  <si>
    <t>Gnoll Warrior
Medium Fiend, Chaotic Evil
AC 15		                   Initiative +1 (11)
HP 27 (6d8)
Speed 30 ft.
MOD SAVE            MOD SAVE            MOD SAVE
Str 14 +2 +2         Dex 12 +1 +1        Con 11 +0 +0
Int 6 âˆ’2 âˆ’2          Wis 10 +0 +0        Cha 7 âˆ’2 âˆ’2
Senses Darkvision 60 ft.; Passive Perception 10
Languages Gnoll
CR 1/2 (XP 100; PB +2)
Actions
Rend. Melee Attack Roll: +4, reach 5 ft. Hit: 5 (1d6 + 2)
Piercing damage.
Bone Bow. Ranged Attack Roll: +3, range 150/600 ft.
Hit: 6 (1d10 + 1) Piercing damage.
Bonus Actions
Rampage (1/Day). Immediately after dealing damage to
a creature that is already Bloodied, the gnoll moves up
to half its Speed, and it makes one Rend attack.</t>
  </si>
  <si>
    <t>Goblin Minion</t>
  </si>
  <si>
    <t>Goblins</t>
  </si>
  <si>
    <t>7 (2d6)</t>
  </si>
  <si>
    <t>Stealth +6</t>
  </si>
  <si>
    <t>Daggers (3)</t>
  </si>
  <si>
    <t>Goblin Minion
Small Fey (Goblinoid), Chaotic Neutral
AC 12		                   Initiative +2 (12)
HP 7 (2d6)
Speed 30 ft.
MOD SAVE            MOD SAVE           MOD SAVE
Str 8 âˆ’1 âˆ’1          Dex 15 +2 +2        Con 10 +0 +0
Int 10 +0 +0         Wis 8 âˆ’1 âˆ’1         Cha 8 âˆ’1 âˆ’1
Skills Stealth +6
Gear Daggers (3)
Senses Darkvision 60 ft.; Passive Perception 9
Languages Common, Goblin
CR 1/8 (XP 25; PB +2)
Actions
Dagger. Melee or Ranged Attack Roll: +4, reach 5 ft. or
range 20/60 ft. Hit: 4 (1d4 + 2) Piercing damage.
Bonus Actions
Nimble Escape. The goblin takes the Disengage or
Hide action.</t>
  </si>
  <si>
    <t>Goblin Warrior</t>
  </si>
  <si>
    <t>Leather Armor, Scimitar, Shield, Shortbow</t>
  </si>
  <si>
    <t>Goblin Warrior
Small Fey (Goblinoid), Chaotic Neutral
AC 15		                   Initiative +2 (12)
HP 10 (3d6)
Speed 30 ft.
MOD SAVE            MOD SAVE           MOD SAVE
Str 8 âˆ’1 âˆ’1          Dex 15 +2 +2        Con 10 +0 +0
Int 10 +0 +0         Wis 8 âˆ’1 âˆ’1         Cha 8 âˆ’1 âˆ’1
Skills Stealth +6
Gear Leather Armor, Scimitar, Shield, Shortbow
Senses Darkvision 60 ft.; Passive Perception 9
Languages Common, Goblin
CR 1/4 (XP 50; PB +2)
Actions
Scimitar. Melee Attack Roll: +4, reach 5 ft. Hit: 5 (1d6
+ 2) Slashing damage, plus 2 (1d4) Slashing damage if
the attack roll had Advantage.
Shortbow. Ranged Attack Roll: +4, range 80/320 ft.
Hit: 5 (1d6 + 2) Piercing damage, plus 2 (1d4) Piercing
damage if the attack roll had Advantage.
Bonus Actions
Nimble Escape. The goblin takes the Disengage or
Hide action.</t>
  </si>
  <si>
    <t>Goblin Boss</t>
  </si>
  <si>
    <t>21 (6d6)</t>
  </si>
  <si>
    <t>Chain Shirt, Scimitar, Shield, Shortbow</t>
  </si>
  <si>
    <t>Goblin Boss
Small Fey (Goblinoid), Chaotic Neutral
AC 17		                     Initiative +2 (12)
HP 21 (6d6)
Speed 30 ft.
MOD SAVE              MOD SAVE          MOD SAVE
Str 10 +0 +0          Dex 15 +2 +2         Con 10 +0 +0
Int 10 +0 +0          Wis 8 âˆ’1 âˆ’1          Cha 10 +0 +0
Skills Stealth +6
Gear Chain Shirt, Scimitar, Shield, Shortbow
Senses Darkvision 60 ft.; Passive Perception 9
Languages Common, Goblin
CR 1 (XP 200; PB +2)
Actions
Multiattack. The goblin makes two attacks, using Scim-
itar or Shortbow in any combination.
Scimitar. Melee Attack Roll: +4, reach 5 ft. Hit: 5 (1d6
+ 2) Slashing damage, plus 2 (1d4) Slashing damage if
the attack roll had Advantage.
Shortbow. Ranged Attack Roll: +4, range 80/320 ft.
Hit: 5 (1d6 + 2) Piercing damage, plus 2 (1d4) Piercing
damage if the attack roll had Advantage.
Bonus Actions
Nimble Escape. The goblin takes the Disengage or
Hide action.
Reactions
Redirect Attack. Trigger: A creature the goblin can see
makes an attack roll against it. Response: The goblin
chooses a Small or Medium ally within 5 feet of itself.
The goblin and that ally swap places, and the ally be-
comes the target of the attack instead.</t>
  </si>
  <si>
    <t>Gold Dragon Wyrmling</t>
  </si>
  <si>
    <t>Gold Dragons</t>
  </si>
  <si>
    <t>Gold Dragon Wyrmling
Medium Dragon (Metallic), Lawful Good
AC 17		                      Initiative +4 (14)
HP 60 (8d8 + 24)
Speed 30 ft., Fly 60 ft., Swim 30 ft.
MOD SAVE              MOD SAVE          MOD SAVE
Str 19 +4 +4          Dex 14 +2 +4         Con 17 +3 +3
Int 14 +2 +2          Wis 11 +0 +2         Cha 16 +3 +3
Skills Perception +4, Stealth +4
Immunities Fire
Senses Blindsight 10 ft., Darkvision 60 ft.;
Passive Perception 14
Languages Draconic
CR 3 (700 XP; PB +2)
Traits
Amphibious. The dragon can breathe air and water.
Actions
Multiattack. The dragon makes two Rend attacks.
Rend. Melee Attack Roll: +6, reach 5 ft. Hit: 9 (1d10
+ 4) Slashing damage.
Fire Breath (Recharge 5â€“6). Dexterity Saving Throw:
DC 13, each creature in a 15-foot Cone. Failure: 22
(4d10) Fire damage. Success: Half damage.
Weakening Breath. Strength Saving Throw: DC 13,
each creature that isnâ€™t currently affected by this breath
in a 15-foot Cone. Failure: The target has Disadvantage
on Strength-based D20 Tests and subtracts 2 (1d4) from
its damage rolls. It repeats the save at the end of each
of its turns, ending the effect on itself on a success. Af-
ter 1 minute, it succeeds automatically.</t>
  </si>
  <si>
    <t>Young Gold Dragon</t>
  </si>
  <si>
    <t>178 (17d10 + 85)</t>
  </si>
  <si>
    <t>Insight +5, Perception +9, Persuasion +9, Stealth +6</t>
  </si>
  <si>
    <t>Young Gold Dragon
Large Dragon (Metallic), Lawful Good
AC 18		                      Initiative +6 (16)
HP 178 (17d10 + 85)
Speed 40 ft., Fly 80 ft., Swim 40 ft.
MOD SAVE              MOD SAVE           MOD SAVE
Str 23 +6 +6          Dex 14 +2 +6         Con 21 +5 +5
Int 16 +3 +3          Wis 13 +1 +5         Cha 20 +5 +5
Skills Insight +5, Perception +9, Persuasion +9, Stealth +6
Immunities Fire
Senses Blindsight 30 ft., Darkvision 120 ft.;
Passive Perception 19
Languages Common, Draconic
CR 10 (XP 5,900; PB +4)
Traits
Amphibious. The dragon can breathe air and water.
Actions
Multiattack. The dragon makes three Rend attacks. It
can replace one attack with a use of Weakening Breath.
Rend. Melee Attack Roll: +10, reach 10 ft. Hit: 17 (2d10
+ 6) Slashing damage.
Fire Breath (Recharge 5â€“6). Dexterity Saving Throw:
DC 17, each creature in a 30-foot Cone. Failure: 55
(10d10) Fire damage. Success: Half damage.
Weakening Breath. Strength Saving Throw: DC 17,
each creature that isnâ€™t currently affected by this breath
in a 30-foot Cone. Failure: The target has Disadvantage
on Strength-based D20 Tests and subtracts 3 (1d6) from
its damage rolls. It repeats the save at the end of each
of its turns, ending the effect on itself on a success. Af-
ter 1 minute, it succeeds automatically.</t>
  </si>
  <si>
    <t>Adult Gold Dragon</t>
  </si>
  <si>
    <t>243 (18d12 + 126)</t>
  </si>
  <si>
    <t>Insight +8, Perception +14, Persuasion +13, Stealth +8</t>
  </si>
  <si>
    <t>Adult Gold Dragon
Huge Dragon (Metallic), Lawful Good
AC 19                 Initiative +14 (24)
HP 243 (18d12 + 126)
Speed 40 ft., Fly 80 ft., Swim 40 ft.
MOD SAVE             MOD SAVE            MOD SAVE
Str 27 +8 +8         Dex 14 +2 +8           Con 25 +7 +7
Int 16 +3 +3         Wis 15 +2 +8           Cha 24 +7 +7
Skills Insight +8, Perception +14, Persuasion +13, Stealth
+8
Immunities Fire
Senses Blindsight 60 ft., Darkvision 120 ft.;
Passive Perception 24
Languages Common, Draconic
CR 17 (XP 18,000, or 20,000 in lair; PB +6)
Traits
Amphibious. The dragon can breathe air and water.
Legendary Resistance (3/Day, or 4/Day in Lair). If
the dragon fails a saving throw, it can choose to suc-
ceed instead.
Actions
Multiattack. The dragon makes three Rend attacks. It
can replace one attack with a use of (A) Spellcasting
to cast Guiding Bolt (level 2 version) or (B) Weaken-
ing Breath.
Rend. Melee Attack Roll: +14, reach 10 ft. Hit: 17 (2d8
+ 8) Slashing damage plus 4 (1d8) Fire damage.
Fire Breath (Recharge 5â€“6). Dexterity Saving Throw:
DC 21, each creature in a 60-foot Cone. Failure: 66
(12d10) Fire damage. Success: Half damage.
Spellcasting. The dragon casts one of the following
spells, requiring no Material components and using
Charisma as the spellcasting ability (spell save DC 21,
+13 to hit with spell attacks):
At Will: Detect Magic, Guiding Bolt (level 2 version),
Shapechange (Beast or Humanoid form only, no
Temporary Hit Points gained from the spell, and no
Concentration or Temporary Hit Points required to
maintain the spell)
1/Day Each: Flame Strike, Zone of Truth
Weakening Breath. Strength Saving Throw: DC 21,
each creature that isnâ€™t currently affected by this breath
in a 60-foot Cone. Failure: The target has Disadvantage
on Strength-based D20 Tests and subtracts 3 (1d6) from
its damage rolls. It repeats the save at the end of each
of its turns, ending the effect on itself on a success. Af-
ter 1 minute, it succeeds automatically.
Legendary Actions
Legendary Action Uses: 3 (4 in Lair). Immediately after
another creatureâ€™s turn, the dragon can expend a use to
take one of the following actions. The dragon regains all
expended uses at the start of each of its turns.
Banish. Charisma Saving Throw: DC 21, one creature
the dragon can see within 120 feet. Failure: 10 (3d6)
Force damage, and the target has the Incapacitated
condition and is transported to a harmless demiplane
until the start of the dragonâ€™s next turn, at which point
it reÂ­appears in an unoccupied space of the dragonâ€™s
choice within 120 feet of the dragon. Failure or Success:
The dragon canâ€™t take this action again until the start of
its next turn.
Guiding Light. The dragon uses Spellcasting to cast
Guiding Bolt (level 2 version).
Pounce. The dragon moves up to half its Speed, and it
makes one Rend attack.</t>
  </si>
  <si>
    <t>Ancient Gold Dragon</t>
  </si>
  <si>
    <t>546 (28d20 + 252)</t>
  </si>
  <si>
    <t>Insight +10, Perception +17, Persuasion +16, Stealth +9</t>
  </si>
  <si>
    <t>Ancient Gold Dragon
Gargantuan Dragon (Metallic), Lawful Good
AC 22		                      Initiative +16 (26)
HP 546 (28d20 + 252)
Speed 40 ft., Fly 80 ft., Swim 40 ft.
MOD SAVE              MOD SAVE           MOD SAVE
Str 30 +10 +10 Dex 14 +2 +9 Con 29 +9 +9
Int 18 +4 +4 Wis 17 +3 +10 Cha 28 +9 +9
Skills Insight +10, Perception +17, Persuasion +16, Stealth
+9
Immunities Fire
Senses Blindsight 60 ft., Darkvision 120 ft.;
Passive Perception 27
Languages Common, Draconic
CR 24 (XP 62,000, or 75,000 in lair; PB +7)
Traits
Amphibious. The dragon can breathe air and water.
Legendary Resistance (4/Day, or 5/Day in Lair). If
the dragon fails a saving throw, it can choose to suc-
ceed instead.
Actions
Multiattack. The dragon makes three Rend attacks. It
can replace one attack with a use of (A) Spellcasting
to cast Guiding Bolt (level 4 version) or (B) Weaken-
ing Breath.
Rend. Melee Attack Roll: +17 to hit, reach 15 ft. Hit: 19
(2d8 + 10) Slashing damage plus 9 (2d8) Fire damage.
Fire Breath (Recharge 5â€“6). Dexterity Saving Throw:
DC 24, each creature in a 90-foot Cone. Failure: 71
(13d10) Fire damage. Success: Half damage.
Spellcasting. The dragon casts one of the following
spells, requiring no Material components and using
Charisma as the spellcasting ability (spell save DC 24,
+16 to hit with spell attacks):
At Will: Detect Magic, Guiding Bolt (level 4 version),
Shapechange (Beast or Humanoid form only, no
Temporary Hit Points gained from the spell, and no
Concentration or Temporary Hit Points required to
maintain the spell)
1/Day Each: Flame Strike (level 6 version), Word of Re-
call, Zone of Truth
Weakening Breath. Strength Saving Throw: DC 24,
each creature that isnâ€™t currently affected by this breath
in a 90-foot Cone. Failure: The target has Disadvantage
on Strength-based D20 Tests and subtracts 5 (1d10)
from its damage rolls. It repeats the save at the end of
each of its turns, ending the effect on itself on a suc-
cess. After 1 minute, it succeeds automatically.
Legendary Actions
Legendary Action Uses: 3 (4 in Lair). Immediately after
another creatureâ€™s turn, the dragon can expend a use to
take one of the following actions. The dragon regains all
expended uses at the start of each of its turns.
Banish. Charisma Saving Throw: DC 24, one creature
the dragon can see within 120 feet. Failure: 24 (7d6)
Force damage, and the target has the Incapacitated
condition and is transported to a harmless demiplane
until the start of the dragonâ€™s next turn, at which point
it reappears in an unoccupied space of the dragonâ€™s
choice within 120 feet of the dragon. Failure or Success:
The dragon canâ€™t take this action again until the start of
its next turn.
Guiding Light. The dragon uses Spellcasting to cast
Guiding Bolt (level 4 version).
Pounce. The dragon moves up to half its Speed, and it
makes one Rend attack.</t>
  </si>
  <si>
    <t>Gorgon</t>
  </si>
  <si>
    <t>Perception +7</t>
  </si>
  <si>
    <t>Exhaustion, Petrified</t>
  </si>
  <si>
    <t>Darkvision 60 ft.; Passive Perception 17</t>
  </si>
  <si>
    <t>Gorgon
Large Construct, Unaligned
AC 19		                    Initiative +0 (10)
HP 114 (12d10 + 48)
Speed 40 ft.
MOD SAVE            MOD SAVE             MOD SAVE
Str 20 +5 +5         Dex 11 +0 +0        Con 18 +4 +4
Int 2 âˆ’4 âˆ’4          Wis 12 +1 +1        Cha 7 âˆ’2 âˆ’2
Skills Perception +7
Immunities Exhaustion, Petrified
Senses Darkvision 60 ft.; Passive Perception 17
Languages None
CR 5 (XP 1,800; PB +3)
Actions
Gore. Melee Attack Roll: +8, reach 5 ft. Hit: 18 (2d12
+ 5) Piercing damage. If the target is a Large or smaller
creature and the gorgon moved 20+ feet straight toward
it immediately before the hit, the target has the Prone
condition.
Petrifying Breath (Recharge 5â€“6). Constitution Saving
Throw: DC 15, each creature in a 30-foot Cone. First
Failure: The target has the Restrained condition and
repeats the save at the end of its next turn if it is still
Restrained, ending the effect on itself on a success.
Second Failure: The target has the Petrified condition
instead of the Restrained condition.
Bonus Actions
Trample. Dexterity Saving Throw: DC 16, one creature
within 5 feet that has the Prone condition. Failure: 16
(2d10 + 5) Bludgeoning damage. Success: Half damage.</t>
  </si>
  <si>
    <t>Gray Ooze</t>
  </si>
  <si>
    <t>22 (3d8 + 9)</t>
  </si>
  <si>
    <t>Speed 10 ft., Climb 10 ft.</t>
  </si>
  <si>
    <t>Stealth +2</t>
  </si>
  <si>
    <t>Acid, Cold, Fire</t>
  </si>
  <si>
    <t>Blinded, Charmed, Deafened, Exhaustion, Frightened, Grappled, Prone, Restrained</t>
  </si>
  <si>
    <t>Gray Ooze
Medium Ooze, Unaligned
AC 9		                     Initiative âˆ’2 (13)
HP 22 (3d8 + 9)
Speed 10 ft., Climb 10 ft.
MOD SAVE             MOD SAVE            MOD SAVE
Str 12 +1 +1         Dex 6 âˆ’2 âˆ’2          Con 16 +3 +3
Int 1 âˆ’5 âˆ’5          Wis 6 âˆ’2 âˆ’2          Cha 2 âˆ’4 âˆ’4
Skills Stealth +2
Resistances Acid, Cold, Fire
Immunities Blinded, Charmed, Deafened, Exhaustion,
Frightened, Grappled, Prone, Restrained
Senses Blindsight 60 ft.; Passive Perception 8
Languages None
CR 1/2 (XP 100; PB +2)
Traits
Amorphous. The ooze can move through a space
as narrow as 1 inch without expending extra move-
ment to do so.
Corrosive Form. Nonmagical ammunition is destroyed
immediately after hitting the ooze and dealing any
damage. Any nonmagical weapon takes a cumulative
âˆ’1 penalty to attack rolls immediately after dealing
damage to the ooze and coming into contact with it.
The weapon is destroyed if the penalty reaches âˆ’5. The
penalty can be removed by casting the Mending spell
on the weapon.
The ooze can eat through 2-inch-thick, nonmagical
metal or wood in 1 round.
Actions
Pseudopod. Melee Attack Roll: +3, reach 5 ft. Hit: 10
(2d8 + 1) Acid damage. Nonmagical armor worn by the
target takes a âˆ’1 penalty to the AC it offers. The armor
is destroyed if the penalty reduces its AC to 10. The
penalty can be removed by casting the Mending spell
on the armor.</t>
  </si>
  <si>
    <t>Green Dragon Wyrmling</t>
  </si>
  <si>
    <t>Green Dragons</t>
  </si>
  <si>
    <t>38 (7d8 + 7)</t>
  </si>
  <si>
    <t>Green Dragon Wyrmling
Medium Dragon (Chromatic), Lawful Evil
AC 17		                      Initiative +3 (13)
HP 38 (7d8 + 7)
Speed 30 ft., Fly 60 ft., Swim 30 ft.
MOD SAVE              MOD SAVE          MOD SAVE
Str 15 +2 +2          Dex 12 +1 +3          Con 13 +1 +1
Int 14 +2 +2          Wis 11 +0 +2          Cha 13 +1 +1
Skills Perception +4, Stealth +3
Immunities Poison; Poisoned
Senses Blindsight 10 ft., Darkvision 60 ft.;
Passive Perception 14
Languages Draconic
CR 2 (XP 450; PB +2)
Traits
Amphibious. The dragon can breathe air and water.
Actions
Multiattack. The dragon makes two Rend attacks.
Rend. Melee Attack Roll: +4, reach 5 ft. Hit: 7 (1d10
+ 2) Slashing damage plus 3 (1d6) Poison damage.
Poison Breath (Recharge 5â€“6). Constitution Saving
Throw: DC 11, each creature in a 15-foot Cone. Failure:
21 (6d6) Poison damage. Success: Half damage.</t>
  </si>
  <si>
    <t>Young Green Dragon</t>
  </si>
  <si>
    <t>136 (16d10 + 48)</t>
  </si>
  <si>
    <t>Young Green Dragon
Large Dragon (Chromatic), Lawful Evil
AC 18		                      Initiative +4 (14)
HP 136 (16d10 + 48)
Speed 40 ft., Fly 80 ft., Swim 40 ft.
MOD SAVE              MOD SAVE          MOD SAVE
Str 19 +4 +4          Dex 12 +1 +4          Con 17 +3 +3
Int 16 +3 +3          Wis 13 +1 +4          Cha 15 +2 +2
Skills Deception +5, Perception +7, Stealth +4
Immunities Poison; Poisoned
Senses Blindsight 30 ft., Darkvision 120 ft.;
Passive Perception 17
Languages Common, Draconic
CR 8 (XP 3,900; PB +3)
Traits
Amphibious. The dragon can breathe air and water.
Actions
Multiattack. The dragon makes three Rend attacks.
Rend. Melee Attack Roll: +7, reach 10 ft. Hit: 11 (2d6
+ 4) Slashing damage plus 7 (2d6) Poison damage.
Poison Breath (Recharge 5â€“6). Constitution Saving
Throw: DC 14, each creature in a 30-foot Cone. Failure:
42 (12d6) Poison damage. Success: Half damage.</t>
  </si>
  <si>
    <t>Adult Green Dragon</t>
  </si>
  <si>
    <t>207 (18d12 + 90)</t>
  </si>
  <si>
    <t>Deception +9, Perception +12, Persuasion +9, Stealth +6</t>
  </si>
  <si>
    <t>Adult Green Dragon
Huge Dragon (Chromatic), Lawful Evil
AC 19		                      Initiative +11 (21)
HP 207 (18d12 + 90)
Speed 40 ft., Fly 80 ft., Swim 40 ft.
MOD SAVE              MOD SAVE           MOD SAVE
Str 23 +6 +6          Dex 12 +1 +6         Con 21 +5 +5
Int 18 +4 +4          Wis 15 +2 +7         Cha 18 +4 +4
Skills Deception +9, Perception +12, Persuasion +9,
Stealth +6
Immunities Poison; Poisoned
Senses Blindsight 60 ft., Darkvision 120 ft.;
Passive Perception 22
Languages Common, Draconic
CR 15 (XP 13,000, or 15,000 in lair; PB +5)
Traits
Amphibious. The dragon can breathe air and water.
Legendary Resistance (3/Day, or 4/Day in Lair). If
the dragon fails a saving throw, it can choose to suc-
ceed instead.
Actions
Multiattack. The dragon makes three Rend attacks. It
can replace one attack with a use of Spellcasting to cast
Mind Spike (level 3 version).
Rend. Melee Attack Roll: +11, reach 10 ft. Hit: 15 (2d8
+ 6) Slashing damage plus 7 (2d6) Poison damage.
Poison Breath (Recharge 5â€“6). Constitution Saving
Throw: DC 18, each creature in a 60-foot Cone. Fail-
ure: 56 (16d6) Poison damage. Success: Half damage.
Spellcasting. The dragon casts one of the following
spells, requiring no Material components and using
Charisma as the spellcasting ability (spell save DC 17):
At Will: Detect Magic, Mind Spike (level 3 version)
1/Day: Geas
Legendary Actions
Legendary Action Uses: 3 (4 in Lair). Immediately after
another creatureâ€™s turn, the dragon can expend a use to
take one of the following actions. The dragon regains all
expended uses at the start of each of its turns.
Mind Invasion. The dragon uses Spellcasting to cast
Mind Spike (level 3 version).
Noxious Miasma. Constitution Saving Throw: DC 17,
each creature in a 20-foot-radius Sphere centered on a
point the dragon can see within 90 feet. Failure: 7 (2d6)
Poison damage, and the target takes a âˆ’2 penalty to AC
until the end of its next turn. Failure or Success: The
dragon canâ€™t take this action again until the start of its
next turn.
Pounce. The dragon moves up to half its Speed, and it
makes one Rend attack.</t>
  </si>
  <si>
    <t>Ancient Green Dragon</t>
  </si>
  <si>
    <t>402 (23d20 + 161)</t>
  </si>
  <si>
    <t>Deception +13, Perception +17, Persuasion +13, Stealth +8</t>
  </si>
  <si>
    <t>Ancient Green Dragon
Gargantuan Dragon (Chromatic), Lawful Evil
AC 21		                      Initiative +15 (25)
HP 402 (23d20 + 161)
Speed 40 ft., Fly 80 ft., Swim 40 ft.
MOD SAVE              MOD SAVE           MOD SAVE
Str 27 +8 +8          Dex 12 +1 +8 Con 25 +7 +7
Int 20 +5 +5          Wis 17 +3 +10 Cha 22 +6 +6
Skills Deception +13, Perception +17, Persuasion +13,
Stealth +8
Immunities Poison; Poisoned
Senses Blindsight 60 ft., Darkvision 120 ft.;
Passive Perception 27
Languages Common, Draconic
CR 22 (XP 41,000, or 50,000 in lair; PB +7)
Traits
Amphibious. The dragon can breathe air and water.
Legendary Resistance (4/Day, or 5/Day in Lair). If
the dragon fails a saving throw, it can choose to suc-
ceed instead.
Actions
Multiattack. The dragon makes three Rend attacks. It
can replace one attack with a use of Spellcasting to cast
Mind Spike (level 5 version).
Rend. Melee Attack Roll: +15, reach 15 ft. Hit: 17 (2d8
+ 8) Slashing damage plus 10 (3d6) Poison damage.
Poison Breath (Recharge 5â€“6). Constitution Saving
Throw: DC 22, each creature in a 90-foot Cone. Fail-
ure: 77 (22d6) Poison damage. Success: Half damage.
Spellcasting. The dragon casts one of the following
spells, requiring no Material components and using
Charisma as the spellcasting ability (spell save DC 21):
At Will: Detect Magic, Mind Spike (level 5 version)
1/Day Each: Geas, Modify Memory
Legendary Actions
Legendary Action Uses: 3 (4 in Lair). Immediately after
another creatureâ€™s turn, the dragon can expend a use to
take one of the following actions. The dragon regains all
expended uses at the start of each of its turns.
Mind Invasion. The dragon uses Spellcasting to cast
Mind Spike (level 5 version).
Noxious Miasma. Constitution Saving Throw: DC 21,
each creature in a 30-foot-radius Sphere centered on
a point the dragon can see within 90 feet. Failure: 17
(5d6) Poison damage, and the target takes a âˆ’2 penalty
to AC until the end of its next turn. Failure or Success:
The dragon canâ€™t take this action again until the start of
its next turn.
Pounce. The dragon moves up to half its Speed, and it
makes one Rend attack.</t>
  </si>
  <si>
    <t>Green Hag</t>
  </si>
  <si>
    <t>82 (11d8 + 33)</t>
  </si>
  <si>
    <t>Arcana +5, Deception +4, Perception +4, Stealth +3</t>
  </si>
  <si>
    <t>Common, Elvish, Sylvan</t>
  </si>
  <si>
    <t>Green Hag
Medium Fey, Neutral Evil
AC 17		                   Initiative +1 (11)
HP 82 (11d8 + 33)
Speed 30 ft., Swim 30 ft.
MOD SAVE            MOD SAVE             MOD SAVE
Str 18 +4 +4         Dex 12 +1 +1        Con 16 +3 +3
Int 13 +1 +1         Wis 14 +2 +2        Cha 14 +2 +2
Skills Arcana +5, Deception +4, Perception +4, Stealth +3
Senses Darkvision 60 ft.; Passive Perception 14
Languages Common, Elvish, Sylvan
CR 3 (XP 700; PB +2)
Traits
Amphibious. The hag can breathe air and water.
Coven Magic. While within 30 feet of at least two hag
allies, the hag can cast one of the following spells,
requiring no Material components, using the spellâ€™s
normal casting time, and using Intelligence as the spell-
casting ability (spell save DC 11): Augury, Find Familiar,
Identify, Locate Object, Scrying, or Unseen Servant.
The hag must finish a Long Rest before using this trait to
cast that spell again.
Mimicry. The hag can mimic animal sounds and hu-
manoid voices. A creature that hears the sounds can
tell they are imitations only with a successful DC 14
Wisdom (Insight) check.
Actions
Multiattack. The hag makes two Claw attacks.
Claw. Melee Attack Roll: +6, reach 5 ft. Hit: 8 (1d8 + 4)
Slashing damage plus 3 (1d6) Poison damage.
Spellcasting. The hag casts one of the following spells,
requiring no Material components and using Wisdom
as the spellcasting ability (spell save DC 12, +4 to hit
with spell attacks):
At Will: Dancing Lights, Disguise Self (24-hour du-
ration), Invisibility (self only, and the hag leaves no
tracks while Invisible), Minor Illusion, Ray of Sickness
(level 3 version)</t>
  </si>
  <si>
    <t>Grick</t>
  </si>
  <si>
    <t>54 (12d8)</t>
  </si>
  <si>
    <t>Darkvision 60 ft.; Passive Perception 12</t>
  </si>
  <si>
    <t>Grick
Medium Aberration, Unaligned
AC 14		                    Initiative +2 (12)
HP 54 (12d8)
Speed 30 ft., Climb 30 ft.
MOD SAVE             MOD SAVE           MOD SAVE
Str 14 +2 +2          Dex 14 +2 +2        Con 11 +0 +0
Int 3 âˆ’4 âˆ’4           Wis 14 +2 +2        Cha 5 âˆ’3 âˆ’3
Skills Stealth +4
Senses Darkvision 60 ft.; Passive Perception 12
Languages None
CR 2 (XP 450; PB +2)
Actions
Multiattack. The grick makes one Beak attack and one
Tentacles attack.
Beak. Melee Attack Roll: +4, reach 5 ft. Hit: 9 (2d6 + 2)
Piercing damage.
Tentacles. Melee Attack Roll: +4, reach 5 ft. Hit: 7
(1d10 + 2) Slashing damage. If the target is a Medium or
smaller creature, it has the Grappled condition (escape
DC 12) from all four tentacles.</t>
  </si>
  <si>
    <t>Griffon</t>
  </si>
  <si>
    <t>59 (7d10 + 21)</t>
  </si>
  <si>
    <t>Speed 30 ft., Fly 80 ft.</t>
  </si>
  <si>
    <t>Perception +5</t>
  </si>
  <si>
    <t>Griffon
Large Monstrosity, Unaligned
AC 12		                    Initiative +2 (12)
HP 59 (7d10 + 21)
Speed 30 ft., Fly 80 ft.
MOD SAVE             MOD SAVE           MOD SAVE
Str 18 +4 +4          Dex 15 +2 +2        Con 16 +3 +3
Int 2 âˆ’4 âˆ’4           Wis 13 +1 +1        Cha 8 âˆ’1 âˆ’1
Skills Perception +5
Senses Darkvision 60 ft.; Passive Perception 15
Languages None
CR 2 (XP 450; PB +2)
Actions
Multiattack. The griffon makes two Rend attacks.
Rend. Melee Attack Roll: +6, reach 5 ft. Hit: 8 (1d8 + 4)
Piercing damage. If the target is a Medium or smaller
creature, it has the Grappled condition (escape DC 14)
from both of the griffonâ€™s front claws.</t>
  </si>
  <si>
    <t>Grimlock</t>
  </si>
  <si>
    <t>Athletics +5, Perception +3, Stealth +5</t>
  </si>
  <si>
    <t>Blindsight 30 ft.; Passive Perception 13</t>
  </si>
  <si>
    <t>Grimlock
Medium Aberration, Neutral Evil
AC 11		                    Initiative +1 (11)
HP 11 (2d8 + 2)
Speed 30 ft., Climb 30 ft.
MOD SAVE             MOD SAVE             MOD SAVE
Str 16 +3 +3         Dex 12 +1 +1         Con 12 +1 +1
Int 9 âˆ’1 âˆ’1          Wis 8 âˆ’1 âˆ’1          Cha 6 âˆ’2 âˆ’2
Skills Athletics +5, Perception +3, Stealth +5
Senses Blindsight 30 ft.; Passive Perception 13
Languages None
CR 1/4 (XP 50; PB +2)
Actions
Bone Cudgel. Melee Attack Roll: +5, reach 5 ft. Hit:
6 (1d6 + 3) Bludgeoning damage plus 2 (1d4) Psy-
chic damage.</t>
  </si>
  <si>
    <t>Guardian Naga</t>
  </si>
  <si>
    <t>Speed 40 ft., Climb 40 ft., Swim 40 ft.</t>
  </si>
  <si>
    <t>Arcana +11, History +11, Religion +11</t>
  </si>
  <si>
    <t>Poison; Charmed, Paralyzed, Poisoned, Restrained</t>
  </si>
  <si>
    <t>Celestial, Common</t>
  </si>
  <si>
    <t>Guardian Naga
Large Celestial, Lawful Good
AC 18		                     Initiative +4 (14)
HP 136 (16d10 + 48)
Speed 40 ft., Climb 40 ft., Swim 40 ft.
MOD SAVE             MOD SAVE             MOD SAVE
Str 19 +4 +4         Dex 18 +4 +8         Con 16 +3 +7
Int 16 +3 +7         Wis 19 +4 +8         Cha 18 +4 +8
Skills Arcana +11, History +11, Religion +11
Immunities Poison; Charmed, Paralyzed, Poisoned,
Restrained
Senses Darkvision 60 ft.; Passive Perception 14
Languages Celestial, Common
CR 10 (XP 5,900; PB +4)
Traits
Celestial Restoration. If the naga dies, it returns to life
in 1d6 days and regains all its Hit Points unless Dispel
Evil and Good is cast on its remains.
Actions
Multiattack. The naga makes two Bite attacks. It can
replace any attack with a use of Poisonous Spittle.
Bite. Melee Attack Roll: +8, reach 10 ft. Hit: 17 (2d12
+ 4) Piercing damage plus 22 (4d10) Poison damage.
Poisonous Spittle. Constitution Saving Throw: DC 16,
one creature the naga can see within 60 feet. Failure:
31 (7d8) Poison damage, and the target has the Blinded
condition until the start of the nagaâ€™s next turn. Success:
Half damage only.
Spellcasting. The naga casts one of the following spells,
requiring no Somatic or Material components and using
Wisdom as the spellcasting ability (spell save DC 16):
At Will: Thaumaturgy
1/Day Each: Clairvoyance, Cure Wounds (level 6 ver-
sion), Flame Strike (level 6 version), Geas, True Seeing</t>
  </si>
  <si>
    <t>Guard</t>
  </si>
  <si>
    <t>Guards</t>
  </si>
  <si>
    <t>Perception +2</t>
  </si>
  <si>
    <t>Chain Shirt, Shield, Spear</t>
  </si>
  <si>
    <t>Guard
Medium or Small Humanoid, Neutral
AC 16		                    Initiative +1 (11)
HP 11 (2d8 + 2)
Speed 30 ft.
MOD SAVE            MOD SAVE              MOD SAVE
Str 13 +1 +1         Dex 12 +1 +1         Con 12 +1 +1
Int 10 +0 +0         Wis 11 +0 +0         Cha 10 +0 +0
Skills Perception +2
Gear Chain Shirt, Shield, Spear
Senses Passive Perception 12
Languages Common
CR 1/8 (XP 25; PB +2)
Actions
Spear. Melee or Ranged Attack Roll: +3, reach 5 ft. or
range 20/60 ft. Hit: 4 (1d6 + 1) Piercing damage.</t>
  </si>
  <si>
    <t>Guard Captain</t>
  </si>
  <si>
    <t>75 (10d8 + 30)</t>
  </si>
  <si>
    <t>Athletics +6, Perception +4</t>
  </si>
  <si>
    <t>Breastplate, Javelins (6), Longsword, Shield</t>
  </si>
  <si>
    <t>Passive Perception 14</t>
  </si>
  <si>
    <t>Guard Captain
Medium or Small Humanoid, Neutral
AC 18		           Initiative +4 (14)
HP 75 (10d8 + 30)
Speed 30 ft.
MOD SAVE            MOD SAVE              MOD SAVE
Str 18 +4 +4         Dex 14 +2 +2         Con 16 +3 +3
Int 12 +1 +1         Wis 14 +2 +2         Cha 13 +1 +1
Skills Athletics +6, Perception +4
Gear Breastplate, Javelins (6), Longsword, Shield
Senses Passive Perception 14
Languages Common
CR 4 (XP 1,100; PB +2)
Actions
Multiattack. The guard makes two attacks, using Javelin
or Longsword in any combination.
Javelin. Melee or Ranged Attack Roll: +6, reach 5 ft. or
range 30/120 ft. Hit: 14 (3d6 + 4) Piercing damage.
Longsword. Melee Attack Roll: +6, reach 5 ft. Hit: 15
(2d10 + 4) Slashing damage.</t>
  </si>
  <si>
    <t>Half-Dragon</t>
  </si>
  <si>
    <t>105 (14d8 + 42)</t>
  </si>
  <si>
    <t>Athletics +7, Perception +5, Stealth +5</t>
  </si>
  <si>
    <t>Damage type chosen for the Draconic Origin trait below</t>
  </si>
  <si>
    <t>Blindsight 10 ft., Darkvision 60 ft.; Passive Perception 15</t>
  </si>
  <si>
    <t>Half-Dragon
Medium Dragon, Neutral
AC 18		            Initiative +5 (15)
HP 105 (14d8 + 42)
Speed 40 ft.
MOD SAVE             MOD SAVE          MOD SAVE
Str 19 +4 +4          Dex 14 +2 +5        Con 16 +3 +3
Int 10 +0 +0          Wis 15 +2 +5        Cha 14 +2 +2
Skills Athletics +7, Perception +5, Stealth +5
Resistances Damage type chosen for the Draconic Origin
trait below
Senses Blindsight 10 ft., Darkvision 60 ft.;
Passive Perception 15
Languages Common, Draconic
CR 5 (XP 1,800; PB +3)
Traits
Draconic Origin. The half-dragon is related to a type
of dragon associated with one of the following damage
types (GMâ€™s choice): Acid, Cold, Fire, Lightning, or Poi-
son. This choice affects other aspects of the stat block.
Actions
Multiattack. The half-dragon makes two Claw attacks.
Claw. Melee Attack Roll: +7, reach 10 ft. Hit: 6 (1d4
+ 4) Slashing damage plus 7 (2d6) damage of the type
chosen for the Draconic Origin trait.
Dragonâ€™s Breath (Recharge 5â€“6). Dexterity Saving
Throw: DC 14, each creature in a 30-foot Cone. Failure:
28 (8d6) damage of the type chosen for the Draconic
Origin trait. Success: Half damage.
Bonus Actions
Leap. The half-dragon jumps up to 30 feet by spending
10 feet of movement.</t>
  </si>
  <si>
    <t>Harpy</t>
  </si>
  <si>
    <t>Harpy
Medium Monstrosity, Chaotic Evil
AC 11		                    Initiative +1 (11)
HP 38 (7d8 + 7)
Speed 20 ft., Fly 40 ft.
MOD SAVE             MOD SAVE          MOD SAVE
Str 12 +1 +1          Dex 13 +1 +1        Con 12 +1 +1
Int 7 âˆ’2 âˆ’2           Wis 10 +0 +0        Cha 13 +1 +1
Senses Passive Perception 10
Languages Common
CR 1 (XP 200; PB +2)
Actions
Claw. Melee Attack Roll: +3, reach 5 ft. Hit: 6 (2d4 + 1)
Slashing damage.
Luring Song. The harpy sings a magical melody, which
lasts until the harpyâ€™s Concentration ends on it. Wisdom
Saving Throw: DC 11, each Humanoid and Giant in a
300-foot Emanation originating from the harpy when
the song starts. Failure: The target has the Charmed
condition until the song ends and repeats the save at
the end of each of its turns. While Charmed, the target
has the Incapacitated condition and ignores the Luring
Song of other harpies. If the target is more than 5 feet
from the harpy, the target moves on its turn toward the
harpy by the most direct route, trying to get within 5
feet of the harpy. It doesnâ€™t avoid Opportunity Attacks;
however, before moving into damaging terrain (such
as lava or a pit) and whenever it takes damage from a
source other than the harpy, the target repeats the save.
Success: The target is immune to this harpyâ€™s Luring
Song for 24 hours.</t>
  </si>
  <si>
    <t>Hell Hound</t>
  </si>
  <si>
    <t>Understands Infernal but canâ€™t speak</t>
  </si>
  <si>
    <t>Hell Hound
Medium Fiend, Lawful Evil
AC 15		                     Initiative +1 (11)
HP 58 (9d8 + 18)
Speed 50 ft.
MOD SAVE             MOD SAVE            MOD SAVE
Str 17 +3 +3         Dex 12 +1 +1          Con 14 +2 +2
Int 6 âˆ’2 âˆ’2          Wis 13 +1 +1          Cha 6 âˆ’2 âˆ’2
Skills Perception +5
Immunities Fire
Senses Darkvision 60 ft.; Passive Perception 15
Languages Understands Infernal but canâ€™t speak
CR 3 (XP 700; PB +2)
Traits
Pack Tactics. The hound has Advantage on an attack
roll against a creature if at least one of the houndâ€™s al-
lies is within 5 feet of the creature and the ally doesnâ€™t
have the Incapacitated condition.
Actions
Multiattack. The hound makes two Bite attacks.
Bite. Melee Attack Roll: +5, reach 5 ft. Hit: 7 (1d8 + 3)
Piercing damage plus 3 (1d6) Fire damage.
Fire Breath (Recharge 5â€“6). Dexterity Saving Throw:
DC 12, each creature in a 15-foot Cone. Failure: 17
(5d6) Fire damage. Success: Half damage.</t>
  </si>
  <si>
    <t>Hezrou</t>
  </si>
  <si>
    <t>157 (15d10 + 75)</t>
  </si>
  <si>
    <t>Hezrou
Large Fiend (Demon), Chaotic Evil
AC 18		                    Initiative +6 (16)
HP 157 (15d10 + 75)
Speed 30 ft.
MOD SAVE             MOD SAVE            MOD SAVE
Str 19 +4 +7         Dex 17 +3 +3         Con 20 +5 +8
Int 5 âˆ’3 âˆ’3          Wis 12 +1 +4         Cha 13 +1 +1
Resistances Cold, Fire, Lightning
Immunities Poison; Poisoned
Senses Darkvision 120 ft.; Passive Perception 11
Languages Abyssal; telepathy 120 ft.
CR 8 (XP 3,900; PB +3)
Traits
Demonic Restoration. If the hezrou dies outside the
Abyss, its body dissolves into ichor, and it gains a new
body instantly, reviving with all its Hit Points some-
where in the Abyss.
Magic Resistance. The hezrou has Advantage on saving
throws against spells and other magical effects.
Stench. Constitution Saving Throw: DC 16, any creature
that starts its turn in a 10-foot Emanation originating
from the hezrou. Failure: The target has the Poisoned
condition until the start of its next turn.
Actions
Multiattack. The hezrou makes three Rend attacks.
Rend. Melee Attack Roll: +7, reach 5 ft. Hit: 6 (1d4 + 4)
Slashing damage plus 9 (2d8) Poison damage.
Bonus Actions
Leap. The hezrou jumps up to 30 feet by spending 10
feet of movement.</t>
  </si>
  <si>
    <t>Hill Giant</t>
  </si>
  <si>
    <t>105 (10d12 + 40)</t>
  </si>
  <si>
    <t>Hill Giant
Huge Giant, Chaotic Evil
AC 13		                    Initiative +2 (12)
HP 105 (10d12 + 40)
Speed 40 ft.
MOD SAVE             MOD SAVE            MOD SAVE
Str 21 +5 +5         Dex 8 âˆ’1 âˆ’1          Con 19 +4 +4
Int 5 âˆ’3 âˆ’3          Wis 9 âˆ’1 âˆ’1          Cha 6 âˆ’2 âˆ’2
Skills Perception +2
Senses Passive Perception 12
Languages Giant
CR 5 (XP 1,800; PB +3)
Actions
Multiattack. The giant makes two attacks, using Tree
Club or Trash Lob in any combination.
Tree Club. Melee Attack Roll: +8, reach 10 ft. Hit: 18
(3d8 + 5) Bludgeoning damage. If the target is a Large
or smaller creature, it has the Prone condition.
Trash Lob. Ranged Attack Roll: +8, range 60/240
ft. Hit: 16 (2d10 + 5) Bludgeoning damage, and the
target has the Poisoned condition until the end of its
next turn.</t>
  </si>
  <si>
    <t>Hippogriff</t>
  </si>
  <si>
    <t>26 (4d10 + 4)</t>
  </si>
  <si>
    <t>Speed 40 ft., Fly 60 ft.</t>
  </si>
  <si>
    <t>Hippogriff
Large Monstrosity, Unaligned
AC 11		                    Initiative +1 (11)
HP 26 (4d10 + 4)
Speed 40 ft., Fly 60 ft.
MOD SAVE             MOD SAVE          MOD SAVE
Str 17 +3 +3          Dex 13 +1 +1        Con 13 +1 +1
Int 2 âˆ’4 âˆ’4           Wis 12 +1 +1        Cha 8 âˆ’1 âˆ’1
Skills Perception +5
Senses Passive Perception 15
Languages None
CR 1 (XP 200; PB +2)
Traits
Flyby. The hippogriff doesnâ€™t provoke an Opportunity
Attack when it flies out of an enemyâ€™s reach.
Actions
Multiattack. The hippogriff makes two Rend attacks.
Rend. Melee Attack Roll: +5, reach 5 ft. Hit: 7 (1d8 + 3)
Slashing damage.</t>
  </si>
  <si>
    <t>Hobgoblin Warrior</t>
  </si>
  <si>
    <t>Hobgoblins</t>
  </si>
  <si>
    <t>Half Plate Armor, Longbow, Longsword, Shield</t>
  </si>
  <si>
    <t>Hobgoblin Warrior
Medium Fey (Goblinoid), Lawful Evil
AC 18		                    Initiative +3 (13)
HP 11 (2d8 + 2)
Speed 30 ft.
MOD SAVE             MOD SAVE          MOD SAVE
Str 13 +1 +1          Dex 12 +1 +1        Con 12 +1 +1
Int 10 +0 +0          Wis 10 +0 +0        Cha 9 âˆ’1 âˆ’1
Gear Half Plate Armor, Longbow, Longsword, Shield
Senses Darkvision 60 ft.; Passive Perception 10
Languages Common, Goblin
CR 1/2 (XP 100; PB +2)
Traits
Pack Tactics. The hobgoblin has Advantage on an at-
tack roll against a creature if at least one of the hobgob-
linâ€™s allies is within 5 feet of the creature and the ally
doesnâ€™t have the Incapacitated condition.
Actions
Longsword. Melee Attack Roll: +3, reach 5 ft. Hit: 12
(2d10 + 1) Slashing damage.
Longbow. Ranged Attack Roll: +3, range 150/600 ft.
Hit: 5 (1d8 + 1) Piercing damage plus 7 (3d4) Poi-
son damage.</t>
  </si>
  <si>
    <t>Hobgoblin Captain</t>
  </si>
  <si>
    <t>Greatsword, Half Plate Armor, Longbow</t>
  </si>
  <si>
    <t>Hobgoblin Captain
Medium Fey (Goblinoid), Lawful Evil
AC 17		                    Initiative +4 (14)
HP 58 (9d8 + 18)
Speed 30 ft.
MOD SAVE            MOD SAVE            MOD SAVE
Str 15 +2 +2          Dex 14 +2 +2        Con 14 +2 +2
Int 12 +1 +1          Wis 10 +0 +0        Cha 13 +1 +1
Gear Greatsword, Half Plate Armor, Longbow
Senses Darkvision 60 ft.; Passive Perception 10
Languages Common, Goblin
CR 3 (XP 700; PB +2)
Traits
Aura of Authority. While in a 10-foot Emanation origi-
nating from the hobgoblin, the hobgoblin and its allies
have Advantage on attack rolls and saving throws,
provided the hobgoblin doesnâ€™t have the Incapacitated
condition.
Actions
Multiattack. The hobgoblin makes two attacks, using
Greatsword or Longbow in any combination.
Greatsword. Melee Attack Roll: +4, reach 5 ft. Hit: 9
(2d6 + 2) Slashing damage plus 3 (1d6) Poison damage.
Longbow. Ranged Attack Roll: +4, range 150/600
ft. Hit: 6 (1d8 + 2) Piercing damage plus 5 (2d4) Poi-
son damage.</t>
  </si>
  <si>
    <t>Homunculus</t>
  </si>
  <si>
    <t>Tiny</t>
  </si>
  <si>
    <t>4 (1d4 + 2)</t>
  </si>
  <si>
    <t>Poison; Charmed, Poisoned</t>
  </si>
  <si>
    <t>Homunculus
Tiny Construct, Neutral
AC 13		                    Initiative +2 (12)
HP 4 (1d4 + 2)
Speed 20 ft., Fly 40 ft.
MOD SAVE             MOD SAVE           MOD SAVE
Str 4 âˆ’3 âˆ’3           Dex 15 +2 +2        Con 14 +2 +2
Int 10 +0 +0          Wis 10 +0 +2        Cha 7 âˆ’2 +0
Immunities Poison; Charmed, Poisoned
Senses Darkvision 60 ft.; Passive Perception 10
Languages Understands Common plus one other language
but canâ€™t speak
CR 0 (XP 10; PB +2)
Traits
Telepathic Bond. While the homunculus is on the same
plane of existence as its master, the two of them can
communicate telepathically with each other.
Actions
Bite. Melee Attack Roll: +4, reach 5 ft. Hit: 1 Piercing
damage, and the target is subjected to the following
effect. Constitution Saving Throw: DC 12. Failure: The
target has the Poisoned condition until the end of the
homunculusâ€™s next turn. Failure by 5 or More: The tar-
get has the Poisoned condition for 1 minute. While Poi-
soned, the target has the Unconscious condition, which
ends early if the target takes any damage.</t>
  </si>
  <si>
    <t>Horned Devil</t>
  </si>
  <si>
    <t>199 (19d10 + 95)</t>
  </si>
  <si>
    <t>Darkvision 150 ft. (unimpeded by magical Darkness); Passive Perception 13</t>
  </si>
  <si>
    <t>Horned Devil
Large Fiend (Devil), Lawful Evil
AC 18		                    Initiative +7 (17)
HP 199 (19d10 + 95)
Speed 30 ft., Fly 60 ft.
MOD SAVE             MOD SAVE           MOD SAVE
Str 22 +6 +10 Dex 17 +3 +7                Con 21 +5 +5
Int 12 +1 +1 Wis 16 +3 +7                 Cha 18 +4 +8
Resistances Cold
Immunities Fire, Poison; Poisoned
Senses Darkvision 150 ft. (unimpeded by magical
Darkness); Passive Perception 13
Languages Infernal; telepathy 120 ft.
CR 11 (XP 7,200; PB +4)
Traits
Diabolical Restoration. If the devil dies outside the
Nine Hells, its body disappears in sulfurous smoke, and
it gains a new body instantly, reviving with all its Hit
Points somewhere in the Nine Hells.
Magic Resistance. The devil has Advantage on saving
throws against spells and other magical effects.
Actions
Multiattack. The devil makes three attacks, using Sear-
ing Fork or Hurl Flame in any combination. It can re-
place one attack with a use of Infernal Tail.
Searing Fork. Melee Attack Roll: +10, reach 10 ft. Hit:
15 (2d8 + 6) Piercing damage plus 9 (2d8) Fire damage.
Hurl Flame. Ranged Attack Roll: +8, range 150 ft. Hit:
26 (5d8 + 4) Fire damage. If the target is a flammable
object that isnâ€™t being worn or carried, it starts burning.
Infernal Tail. Dexterity Saving Throw: DC 17, one crea-
ture the devil can see within 10 feet. Failure: 10 (1d8
+ 6) Necrotic damage, and the target receives an infer-
nal wound if it doesnâ€™t have one. While wounded, the
target loses 10 (3d6) Hit Points at the start of each of
its turns. The wound closes after 1 minute, after a spell
restores Hit Points to the target, or after the target or a
creature within 5 feet of it takes an action to stanch the
wound, doing so by succeeding on a DC 17 Wisdom
(Medicine) check.</t>
  </si>
  <si>
    <t>Hydra</t>
  </si>
  <si>
    <t>Speed 40 ft., Swim 40 ft.</t>
  </si>
  <si>
    <t>Darkvision 60 ft.; Passive Perception 16</t>
  </si>
  <si>
    <t>Hydra
Huge Monstrosity, Unaligned
AC 15		                   Initiative +4 (14)
HP 184 (16d12 + 80)
Speed 40 ft., Swim 40 ft.
MOD SAVE            MOD SAVE             MOD SAVE
Str 20 +5 +5         Dex 12 +1 +1        Con 20 +5 +5
Int 2 âˆ’4 âˆ’4          Wis 10 +0 +0        Cha 7 âˆ’2 âˆ’2
Skills Perception +6
Immunities Blinded, Charmed, Deafened, Frightened,
Stunned, Unconscious
Senses Darkvision 60 ft.; Passive Perception 16
Languages None
CR 8 (XP 3,900; PB +3)
Traits
Hold Breath. The hydra can hold its breath for 1 hour.
Multiple Heads. The hydra has five heads. Whenever
the hydra takes 25 damage or more on a single turn,
one of its heads dies. The hydra dies if all its heads are
dead. At the end of each of its turns when it has at least
one living head, the hydra grows two heads for each of
its heads that died since its last turn, unless it has taken
Fire damage since its last turn. The hydra regains 20 Hit
Points when it grows new heads.
Reactive Heads. For each head the hydra has beyond
one, it gets an extra Reaction that can be used only for
Opportunity Attacks.
Actions
Multiattack. The hydra makes as many Bite attacks as it
has heads.
Bite. Melee Attack Roll: +8, reach 10 ft. Hit: 10 (1d10
+ 5) Piercing damage.</t>
  </si>
  <si>
    <t>Ice Devil</t>
  </si>
  <si>
    <t>228 (24d10 + 96)</t>
  </si>
  <si>
    <t>Insight +7, Perception +7, Persuasion +9</t>
  </si>
  <si>
    <t>Cold, Fire, Poison; Poisoned</t>
  </si>
  <si>
    <t>Blindsight 120 ft.; Passive Perception 17</t>
  </si>
  <si>
    <t>Ice Devil
Large Fiend (Devil), Lawful Evil
AC 18		                     Initiative +7 (17)
HP 228 (24d10 + 96)
Speed 40 ft.
MOD SAVE                MOD SAVE         MOD SAVE
Str 21 +5 +5          Dex 14 +2 +7           Con 18 +4 +9
Int 18 +4 +4          Wis 15 +2 +7           Cha 18 +4 +9
Skills Insight +7, Perception +7, Persuasion +9
Immunities Cold, Fire, Poison; Poisoned
Senses Blindsight 120 ft.; Passive Perception 17
Languages Infernal; telepathy 120 ft.
CR 14 (XP 11,500; PB +5)
Traits
Diabolical Restoration. If the devil dies outside the
Nine Hells, its body disappears in sulfurous smoke, and
it gains a new body instantly, reviving with all its Hit
Points somewhere in the Nine Hells.
Magic Resistance. The devil has Advantage on saving
throws against spells and other magical effects.
Actions
Multiattack. The devil makes three Ice Spear attacks. It
can replace one attack with a Tail attack.
Ice Spear. Melee or Ranged Attack Roll: +10, reach 5
ft. or range 30/120 ft. Hit: 14 (2d8 + 5) Piercing damage
plus 10 (3d6) Cold damage. Until the end of its next
turn, the target canâ€™t take a Bonus Action or Reaction,
its Speed decreases by 10 feet, and it can move or take
one action on its turn, not both. Hit or Miss: The spear
magically returns to the devilâ€™s hand immediately after a
ranged attack.
Tail. Melee Attack Roll: +10, reach 10 ft. Hit: 15 (3d6
+ 5) Bludgeoning damage plus 18 (4d8) Cold damage.
Ice Wall (Recharge 6). The devil casts Wall of Ice (level
8 version), requiring no spell components and using In-
telligence as the spellcasting ability (spell save DC 17).</t>
  </si>
  <si>
    <t>Imp</t>
  </si>
  <si>
    <t>21 (6d4 + 6)</t>
  </si>
  <si>
    <t>Deception +4, Insight +3, Stealth +5</t>
  </si>
  <si>
    <t>Common, Infernal</t>
  </si>
  <si>
    <t>Imp
Tiny Fiend (Devil), Lawful Evil
AC 13 		                    Initiative +3 (13)
HP 21 (6d4 + 6)
Speed 20 ft., Fly 40 ft.
MOD SAVE             MOD SAVE             MOD SAVE
Str 6 âˆ’2 âˆ’2          Dex 17 +3 +3         Con 13 +1 +1
Int 11 +0 +0         Wis 12 +1 +1         Cha 14 +2 +2
Skills Deception +4, Insight +3, Stealth +5
Resistances Cold
Immunities Fire, Poison; Poisoned
Senses Darkvision 120 ft. (unimpeded by magical
Darkness); Passive Perception 11
Languages Common, Infernal
CR 1 (XP 200; PB +2)
Traits
Magic Resistance. The imp has Advantage on saving
throws against spells and other magical effects.
Actions
Sting. Melee Attack Roll: +5, reach 5 ft. Hit: 6 (1d6 + 3)
Piercing damage plus 7 (2d6) Poison damage.
Invisibility. The imp casts Invisibility on itself, requiring
no spell components and using Charisma as the spell-
casting ability.
Shape-Shift. The imp shape-shifts to resemble a rat
(Speed 20 ft.), a raven (20 ft., Fly 60 ft.), or a spider
(20 ft., Climb 20 ft.), or it returns to its true form. Its
game statistics are the same in each form, except for
its Speed. Any equipment it is wearing or carrying isnâ€™t
transformed.</t>
  </si>
  <si>
    <t>Incubus</t>
  </si>
  <si>
    <t>66 (12d8 + 12)</t>
  </si>
  <si>
    <t>Deception +9, Insight +5, Perception +5, Persuasion +9, Stealth +7</t>
  </si>
  <si>
    <t>Cold, Fire, Poison, Psychic</t>
  </si>
  <si>
    <t>Abyssal, Common, Infernal; telepathy 60 ft.</t>
  </si>
  <si>
    <t>Incubus
Medium Fiend, Neutral Evil
AC 15		                  Initiative +3 (13)
HP 66 (12d8 + 12)
Speed 30 ft., Fly 60 ft.
MOD SAVE             MOD SAVE             MOD SAVE
Str 8 âˆ’1 âˆ’1          Dex 17 +3 +3         Con 13 +1 +1
Int 15 +2 +2         Wis 12 +1 +1         Cha 20 +5 +5
Skills Deception +9, Insight +5, Perception +5, Persuasion
+9, Stealth +7
Resistances Cold, Fire, Poison, Psychic
Senses Darkvision 60 ft.; Passive Perception 15
Languages Abyssal, Common, Infernal; telepathy 60 ft.
CR 4 (XP 1,100; PB +2)
Traits
Succubus Form. When the incubus finishes a Long
Rest, it can shape-shift into a Succubus, using that stat
block instead of this one. Any equipment it is wearing
or carrying isnâ€™t transformed.
Actions
Multiattack. The incubus makes two Restless
Touch attacks.
Restless Touch. Melee Attack Roll: +7, reach 5 ft.
Hit: 15 (3d6 + 5) Psychic damage, and the target is
cursed for 24 hours or until the incubus dies. Until the
curse ends, the target gains no benefit from finishing
Short Rests.
Spellcasting. The incubus casts one of the following
spells, requiring no Material components and using
Charisma as the spellcasting ability (spell save DC 15):
At Will: Disguise Self, Etherealness
1/Day Each: Dream, Hypnotic Pattern
Bonus Actions
Nightmare (Recharge 6). Wisdom Saving Throw: DC
15, one creature the incubus can see within 60 feet.
Failure: If the target has 20 Hit Points or fewer, it has
the Unconscious condition for 1 hour, until it takes
damage, or until a creature within 5 feet of it takes an
action to wake it. Otherwise, the target takes 18 (4d8)
Psychic damage.</t>
  </si>
  <si>
    <t>Invisible Stalker</t>
  </si>
  <si>
    <t>97 (13d10 + 26)</t>
  </si>
  <si>
    <t>Speed 50 ft., Fly 50 ft. (hover)</t>
  </si>
  <si>
    <t>Perception +8, Stealth +10</t>
  </si>
  <si>
    <t>Poison; Exhaustion, Grappled, Paralyzed, Petrified, Poisoned, Prone, Restrained, Unconscious</t>
  </si>
  <si>
    <t>Common, Primordial (Auran)</t>
  </si>
  <si>
    <t>Invisible Stalker
Large Elemental, Neutral
AC 14		                      Initiative +7 (22)
HP 97 (13d10 + 26)
Speed 50 ft., Fly 50 ft. (hover)
MOD SAVE              MOD SAVE           MOD SAVE
Str 16 +3 +3          Dex 19 +4 +4         Con 14 +2 +2
Int 10 +0 +0          Wis 15 +2 +2         Cha 11 +0 +0
Skills Perception +8, Stealth +10
Resistances Bludgeoning, Piercing, Slashing
Immunities Poison; Exhaustion, Grappled, Paralyzed,
Petrified, Poisoned, Prone, Restrained, Unconscious
Senses Darkvision 60 ft.; Passive Perception 18
Languages Common, Primordial (Auran)
CR 6 (XP 2,300; PB +3)
Traits
Air Form. The stalker can enter an enemyâ€™s space and
stop there. It can move through a space as narrow as 1
inch without expending extra movement to do so.
Invisibility. The stalker has the Invisible condition.
Actions
Multiattack. The stalker makes three Wind Swipe at-
tacks. It can replace one attack with a use of Vortex.
Wind Swipe. Melee Attack Roll: +7, reach 5 ft. Hit: 11
(2d6 + 4) Force damage.
Vortex. Constitution Saving Throw: DC 14, one Large
or smaller creature in the stalkerâ€™s space. Failure: 7 (1d8
+ 3) Thunder damage, and the target has the Grappled
condition (escape DC 13). Until the grapple ends, the
target canâ€™t cast spells with a Verbal component and
takes 7 (2d6) Thunder damage at the start of each of the
stalkerâ€™s turns.</t>
  </si>
  <si>
    <t>Iron Golem</t>
  </si>
  <si>
    <t>252 (24d10 + 120)</t>
  </si>
  <si>
    <t>Fire, Poison, Psychic; Charmed, Exhaustion, Frightened, Paralyzed, Petrified, Poisoned</t>
  </si>
  <si>
    <t>Darkvision 120 ft.; Passive Perception 10</t>
  </si>
  <si>
    <t>Understands Common plus two other languages but canâ€™t speak</t>
  </si>
  <si>
    <t>Iron Golem
Large Construct, Unaligned
AC 20		                   Initiative +9 (19)
HP 252 (24d10 + 120)
Speed 30 ft.
MOD SAVE           MOD SAVE           MOD SAVE
Str 24 +7 +7         Dex 9 âˆ’1 âˆ’1        Con 20 +5 +5
Int 3 âˆ’4 âˆ’4          Wis 11 +0 +0       Cha 1 âˆ’5 âˆ’5
Immunities Fire, Poison, Psychic; Charmed, Exhaustion,
Frightened, Paralyzed, Petrified, Poisoned
Senses Darkvision 120 ft.; Passive Perception 10
Languages Understands Common plus two other
languages but canâ€™t speak
CR 16 (XP 15,000; PB +5)
Traits
Fire Absorption. Whenever the golem is subjected to
Fire damage, it regains a number of Hit Points equal to
the Fire damage dealt.
Immutable Form. The golem canâ€™t shape-shift.
Magic Resistance. The golem has Advantage on saving
throws against spells and other magical effects.
Actions
Multiattack. The golem makes two attacks, using
Bladed Arm or Fiery Bolt in any combination.
Bladed Arm. Melee Attack Roll: +12, reach 10 ft.
Hit: 20 (3d8 + 7) Slashing damage plus 10 (3d6)
Fire damage.
Fiery Bolt. Ranged Attack Roll: +10, range 120 ft. Hit:
36 (8d8) Fire damage.
Poison Breath (Recharge 6). Constitution Saving
Throw: DC 18, each creature in a 60-foot Cone. Fail-
ure: 55 (10d10) Poison damage. Success: Half damage.</t>
  </si>
  <si>
    <t>Knight</t>
  </si>
  <si>
    <t>Greatsword, Heavy Crossbow, Plate Armor</t>
  </si>
  <si>
    <t>Knight
Medium or Small Humanoid, Neutral
AC 18		                   Initiative +0 (10)
HP 52 (8d8 + 16)
Speed 30 ft.
MOD SAVE             MOD SAVE            MOD SAVE
Str 16 +3 +3         Dex 11 +0 +0         Con 14 +2 +4
Int 11 +0 +0         Wis 11 +0 +2         Cha 15 +2 +2
Immunities Frightened
Gear Greatsword, Heavy Crossbow, Plate Armor
Senses Passive Perception 10
Languages Common plus one other language
CR 3 (XP 700; PB +2)
Actions
Multiattack. The knight makes two attacks, using
Greatsword or Heavy Crossbow in any combination.
Greatsword. Melee Attack Roll: +5, reach 5 ft. Hit: 10
(2d6 + 3) Slashing damage plus 4 (1d8) Radiant damage.
Heavy Crossbow. Ranged Attack Roll: +2, range
100/400 ft. Hit: 11 (2d10) Piercing damage plus 4 (1d8)
Radiant damage.
Reactions
Parry. Trigger: The knight is hit by a melee attack roll
while holding a weapon. Response: The knight adds 2
to its AC against that attack, possibly causing it to miss.</t>
  </si>
  <si>
    <t>Kobold Warrior</t>
  </si>
  <si>
    <t>Kobold</t>
  </si>
  <si>
    <t>7 (3d6 âˆ’ 3)</t>
  </si>
  <si>
    <t>Darkvision 60 ft.; Passive Perception 8</t>
  </si>
  <si>
    <t>Kobold Warrior
Small Dragon, Neutral
AC 14		                    Initiative +2 (12)
HP 7 (3d6 âˆ’ 3)
Speed 30 ft.
MOD SAVE             MOD SAVE            MOD SAVE
Str 7 âˆ’2 âˆ’2          Dex 15 +2 +2         Con 9 âˆ’1 âˆ’1
Int 8 âˆ’1 âˆ’1          Wis 7 âˆ’2 âˆ’2          Cha 8 âˆ’1 âˆ’1
Gear Daggers (3)
Senses Darkvision 60 ft.; Passive Perception 8
Languages Common, Draconic
CR 1/8 (XP 25; PB +2)
Traits
Pack Tactics. The kobold has Advantage on an attack
roll against a creature if at least one of the koboldâ€™s al-
lies is within 5 feet of the creature and the ally doesnâ€™t
have the Incapacitated condition.
Sunlight Sensitivity. While in sunlight, the kobold has
Disadvantage on ability checks and attack rolls.
Actions
Dagger. Melee or Ranged Attack Roll: +4, reach 5 ft. or
range 20/60 ft. Hit: 4 (1d4 + 2) Piercing damage.</t>
  </si>
  <si>
    <t>Kraken</t>
  </si>
  <si>
    <t>Titan</t>
  </si>
  <si>
    <t>Speed 30 ft., Swim 120 ft.</t>
  </si>
  <si>
    <t>History +13, Perception +11</t>
  </si>
  <si>
    <t>Cold, Lightning; Frightened, Grappled, Paralyzed, Restrained</t>
  </si>
  <si>
    <t>Truesight 120 ft.; Passive Perception 21</t>
  </si>
  <si>
    <t>Understands Abyssal, Celestial, Infernal, and Primordial but canâ€™t speak; telepathy 120 ft.</t>
  </si>
  <si>
    <t>Kraken
Gargantuan Monstrosity (Titan), Chaotic Evil
AC 18		                    Initiative +14 (24)
HP 481 (26d20 + 208)
Speed 30 ft., Swim 120 ft.
MOD SAVE             MOD SAVE           MOD SAVE
Str 30 +10 +17 Dex 11 +0 +7 Con 26 +8 +15
Int 22 +6 +6 Wis 18 +4 +11 Cha 20 +5 +5
Skills History +13, Perception +11
Immunities Cold, Lightning; Frightened, Grappled,
Paralyzed, Restrained
Senses Truesight 120 ft.; Passive Perception 21
Languages Understands Abyssal, Celestial, Infernal, and
Primordial but canâ€™t speak; telepathy 120 ft.
CR 23 (XP 50,000, or 62,000 in lair; PB +7)
Traits
Amphibious. The kraken can breathe air and water.
Legendary Resistance (4/Day, or 5/Day in Lair). If
the kraken fails a saving throw, it can choose to suc-
ceed instead.
Siege Monster. The kraken deals double damage to ob-
jects and structures.
Actions
Multiattack. The kraken makes two Tentacle attacks
and uses Fling, Lightning Strike, or Swallow.
Tentacle. Melee Attack Roll: +17, reach 30 ft. Hit: 24
(4d6 + 10) Bludgeoning damage. The target has the
Grappled condition (escape DC 20) from one of ten
tentacles, and it has the Restrained condition until the
grapple ends.
Fling. The kraken throws a Large or smaller creature
Grappled by it to a space it can see within 60 feet of
itself that isnâ€™t in the air. Dexterity Saving Throw: DC
25, the creature thrown and each creature in the des-
tination space. Failure: 18 (4d8) Bludgeoning damage,
and the target has the Prone condition. Success: Half
damage only.
Lightning Strike. Dexterity Saving Throw: DC 23, one
creature the kraken can see within 120 feet. Failure: 33
(6d10) Lightning damage. Success: Half damage.
Swallow. Dexterity Saving Throw: DC 25, one creature
Grappled by the kraken (it can have up to four crea-
tures swallowed at a time). Failure: 23 (3d8 + 10) Pierc-
ing damage. If the target is Large or smaller, it is swal-
lowed and no longer Grappled. A swallowed creature
has the Restrained condition, has Total Cover against
attacks and other effects outside the kraken, and takes
24 (7d6) Acid damage at the start of each of its turns.
If the kraken takes 50 damage or more on a single
turn from a creature inside it, the kraken must succeed
on a DC 25 Constitution saving throw at the end of
that turn or regurgitate all swallowed creatures, each of
which falls in a space within 10 feet of the kraken with
the Prone condition. If the kraken dies, any swallowed
creature no longer has the Restrained condition and
can escape from the corpse using 15 feet of movement,
exiting Prone.
Legendary Actions
Legendary Action Uses: 3 (4 in Lair). Immediately after
another creatureâ€™s turn, the kraken can expend a use to
take one of the following actions. The kraken regains all
expended uses at the start of each of its turns.
Storm Bolt. The kraken uses Lightning Strike.
Toxic Ink. Constitution Saving Throw: DC 23, each
creature in a 15-foot Emanation originating from the
kraken while it is underwater. Failure: The target has
the Blinded and Poisoned conditions until the end of
the krakenâ€™s next turn. The kraken then moves up to
its Speed. Failure or Success: The kraken canâ€™t take this
action again until the start of its next turn.</t>
  </si>
  <si>
    <t>Lamia</t>
  </si>
  <si>
    <t>Deception +7, Insight +4, Stealth +5</t>
  </si>
  <si>
    <t>Abyssal, Common</t>
  </si>
  <si>
    <t>Lamia
Large Fiend, Chaotic Evil
AC 13		                     Initiative +1 (11)
HP 97 (13d10 + 26)
Speed 40 ft.
MOD SAVE             MOD SAVE            MOD SAVE
Str 16 +3 +3         Dex 13 +1 +1          Con 15 +2 +2
Int 14 +2 +2         Wis 15 +2 +2          Cha 16 +3 +3
Skills Deception +7, Insight +4, Stealth +5
Senses Darkvision 60 ft.; Passive Perception 12
Languages Abyssal, Common
CR 4 (XP 1,100; PB +2)
Actions
Multiattack. The lamia makes two Claw attacks. It can
replace one attack with a use of Corrupting Touch.
Claw. Melee Attack Roll: +5, reach 5 ft. Hit: 7 (1d8 + 3)
Slashing damage plus 7 (2d6) Psychic damage.
Corrupting Touch. Wisdom Saving Throw: DC 13, one
creature the lamia can see within 5 feet. Failure: 13
(3d8) Psychic damage, and the target is cursed for 1
hour. Until the curse ends, the target has the Charmed
and Poisoned conditions.
Spellcasting. The lamia casts one of the following
spells, requiring no Material components and using
Charisma as the spellcasting ability (spell save DC 13):
At Will: Disguise Self (can appear as a Large or Medium
biped), Minor Illusion
1/Day Each: Geas, Major Image, Scrying
Bonus Actions
Leap. The lamia jumps up to 30 feet by spending 10
feet of movement.</t>
  </si>
  <si>
    <t>Lemure</t>
  </si>
  <si>
    <t>Lemure
Medium Fiend (Devil), Lawful Evil
AC 9		                     Initiative âˆ’3 (7)
HP 9 (2d8)
Speed 20 ft.
MOD SAVE             MOD SAVE            MOD SAVE
Str 10 +0 +0         Dex 5 âˆ’3 âˆ’3          Con 11 +0 +0
Int 1 âˆ’5 âˆ’5          Wis 11 +0 +0         Cha 3 âˆ’4 âˆ’4
Resistances Cold
Immunities Fire, Poison; Charmed, Frightened, Poisoned
Senses Darkvision 120 ft. (unimpeded by magical
Darkness); Passive Perception 10
Languages Understands Infernal but canâ€™t speak
CR 0 (XP 10; PB +2)
Traits
Hellish Restoration. If the lemure dies in the Nine
Hells, it revives with all its Hit Points in 1d10 days un-
less it is killed by a creature under the effects of a Bless
spell or its remains are sprinkled with Holy Water.
Actions
Vile Slime. Melee Attack Roll: +2, reach 5 ft. Hit: 2
(1d4) Poison damage.</t>
  </si>
  <si>
    <t>Lich</t>
  </si>
  <si>
    <t>Wizard</t>
  </si>
  <si>
    <t>315 (42d8 + 126)</t>
  </si>
  <si>
    <t>Arcana +19, History +12, Insight +9, Perception +9</t>
  </si>
  <si>
    <t>Necrotic, Poison; Charmed, Exhaustion, Frightened, Paralyzed, Poisoned</t>
  </si>
  <si>
    <t>Component Pouch</t>
  </si>
  <si>
    <t>All</t>
  </si>
  <si>
    <t>Lich
Medium Undead (Wizard), Neutral Evil
AC 20		                    Initiative +17 (27)
HP 315 (42d8 + 126)
Speed 30 ft.
MOD SAVE             MOD SAVE            MOD SAVE
Str 11 +0 +0 Dex 16 +3 +10 Con 16 +3 +10
Int 21 +5 +12 Wis 14 +2 +9 Cha 16 +3 +3
Skills Arcana +19, History +12, Insight +9, Perception +9
Resistances Cold, Lightning
Immunities Necrotic, Poison; Charmed, Exhaustion,
Frightened, Paralyzed, Poisoned
Gear Component Pouch
Senses Truesight 120 ft.; Passive Perception 19
Languages All
CR 21 (XP 33,000, or 41,000 in lair; PB +7)
Traits
Legendary Resistance (4/Day, or 5/Day in Lair). If
the lich fails a saving throw, it can choose to suc-
ceed instead.
Spirit Jar. If destroyed, the lich reforms in 1d10 days
if it has a spirit jar, reviving with all its Hit Points. The
new body appears in an unoccupied space within the
lichâ€™s lair.
Actions
Multiattack. The lich makes three attacks, using El-
dritch Burst or Paralyzing Touch in any combination.
Eldritch Burst. Melee or Ranged Attack Roll: +12, reach
5 ft. or range 120 ft. Hit: 31 (4d12 + 5) Force damage.
Paralyzing Touch. Melee Attack Roll: +12, reach 5
ft. Hit: 15 (3d6 + 5) Cold damage, and the target has
the Paralyzed condition until the start of the lichâ€™s
next turn.
Spellcasting. The lich casts one of the following spells,
using Intelligence as the spellcasting ability (spell
save DC 20):
At Will: Detect Magic, Detect Thoughts, Dispel Magic,
Fireball (level 5 version), Invisibility, Lightning Bolt
(level 5 version), Mage Hand, Prestidigitation
2/Day Each: Animate Dead, Dimension Door,
Plane Shift
1/Day Each: Chain Lightning, Finger of Death, Power
Word Kill, Scrying
Reactions
Protective Magic. The lich casts Counterspell or Shield
in response to the spellâ€™s trigger, using the same spell-
casting ability as Spellcasting.
Legendary Actions
Legendary Action Uses: 3 (4 in Lair). Immediately after
another creatureâ€™s turn, the lich can expend a use to take
one of the following actions. The lich regains all expended
uses at the start of each of its turns.
Deathly Teleport. The lich teleports up to 60 feet to
an unoccupied space it can see, and each creature
within 10 feet of the space it left takes 11 (2d10) Ne-
crotic damage.
Disrupt Life. Constitution Saving Throw: DC 20, each
creature that isnâ€™t an Undead in a 20-foot Emanation
originating from the lich. Failure: 31 (9d6) Necrotic
damage. Success: Half damage. Failure or Success:
The lich canâ€™t take this action again until the start of its
next turn.
Frightening Gaze. The lich casts Fear, using the same
spellcasting ability as Spellcasting. The lich canâ€™t take
this action again until the start of its next turn.</t>
  </si>
  <si>
    <t>Mage</t>
  </si>
  <si>
    <t>Mages</t>
  </si>
  <si>
    <t>81 (18d8)</t>
  </si>
  <si>
    <t>Arcana +6, History +6, Perception +4</t>
  </si>
  <si>
    <t>Wand</t>
  </si>
  <si>
    <t>Mage
Medium or Small Humanoid (Wizard), Neutral
AC 15		                     Initiative +2 (12)
HP 81 (18d8)
Speed 30 ft.
MOD SAVE             MOD SAVE             MOD SAVE
Str 9 âˆ’1 âˆ’1          Dex 14 +2 +2          Con 11 +0 +0
Int 17 +3 +6         Wis 12 +1 +4          Cha 11 +0 +0
Skills Arcana +6, History +6, Perception +4
Gear Wand
Senses Passive Perception 14
Languages Common plus three other languages
CR 6 (XP 2,300; PB +3)
Actions
Multiattack. The mage makes three Arcane
Burst attacks.
Arcane Burst. Melee or Ranged Attack Roll: +6, reach
5 ft. or range 120 ft. Hit: 16 (3d8 + 3) Force damage.
Spellcasting. The mage casts one of the following
spells, using Intelligence as the spellcasting ability (spell
save DC 14):
At Will: Detect Magic, Light, Mage Armor (included in
AC), Mage Hand, Prestidigitation
2/Day Each: Fireball (level 4 version), Invisibility
1/Day Each: Cone of Cold, Fly
Bonus Actions
Misty Step (3/Day). The mage casts Misty Step, using
the same spellcasting ability as Spellcasting.
Reactions
Protective Magic (3/Day). The mage casts Counterspell
or Shield in response to the spellâ€™s trigger, using the
same spellcasting ability as Spellcasting.</t>
  </si>
  <si>
    <t>Archmage</t>
  </si>
  <si>
    <t>170 (31d8 + 31)</t>
  </si>
  <si>
    <t>Arcana +13, History +9, Perception +6</t>
  </si>
  <si>
    <t>Psychic; Charmed (with Mind Blank)</t>
  </si>
  <si>
    <t>Common plus five other languages</t>
  </si>
  <si>
    <t>Archmage
Medium or Small Humanoid (Wizard), Neutral
AC 17		                     Initiative +7 (17)
HP 170 (31d8 + 31)
Speed 30 ft.
MOD SAVE             MOD SAVE             MOD SAVE
Str 10 +0 +0         Dex 14 +2 +2          Con 12 +1 +1
Int 20 +5 +9         Wis 15 +2 +6          Cha 16 +3 +3
Skills Arcana +13, History +9, Perception +6
Immunities Psychic; Charmed (with Mind Blank)
Gear Wand
Senses Passive Perception 16
Languages Common plus five other languages
CR 12 (XP 8,000; PB +4)
Traits
Magic Resistance. The archmage has Advantage on
saving throws against spells and other magical effects.
Actions
Multiattack. The archmage makes four Arcane
Burst attacks.
Arcane Burst. Melee or Ranged Attack Roll: +9, reach
5 ft. or range 150 ft. Hit: 27 (4d10 + 5) Force damage.
Spellcasting. The archmage casts one of the following
spells, using Intelligence as the spellcasting ability (spell
save DC 17):
At Will: Detect Magic, Detect Thoughts, Disguise Self,
Invisibility, Light, Mage Armor (included in AC), Mage
Hand, Prestidigitation
2/Day Each: Fly, Lightning Bolt (level 7 version)
1/Day Each: Cone of Cold (level 9 version), Mind Blank
(cast before combat), Scrying, Teleport
Bonus Actions
Misty Step (3/Day). The mage casts Misty Step, using
the same spellcasting ability as Spellcasting.
Reactions
Protective Magic (3/Day). The archmage casts Coun-
terspell or Shield in response to the spellâ€™s trigger, using
the same spellcasting ability as Spellcasting.</t>
  </si>
  <si>
    <t>Magmin</t>
  </si>
  <si>
    <t>13 (3d6 + 3)</t>
  </si>
  <si>
    <t>Magmin
Small Elemental, Chaotic Neutral
AC 14		                     Initiative +2 (12)
HP 13 (3d6 + 3)
Speed 30 ft.
MOD SAVE             MOD SAVE             MOD SAVE
Str 7 âˆ’2 âˆ’2          Dex 15 +2 +2          Con 12 +1 +1
Int 8 âˆ’1 âˆ’1          Wis 11 +0 +0          Cha 10 +0 +0
Immunities Fire
Senses Darkvision 60 ft.; Passive Perception 10
Languages Primordial (Ignan)
CR 1/2 (XP 100; PB +2)
Traits
Death Burst. The magmin explodes when it dies. Dex-
terity Saving Throw: DC 11, each creature in a 10-foot
Emanation originating from the magmin. Failure: 7 (2d6)
Fire damage. Success: Half damage.
Actions
Touch. Melee Attack Roll: +4, reach 5 ft. Hit: 7 (2d4 +
2) Fire damage. If the target is a creature or a flammable
object that isnâ€™t being worn or carried, it starts burning.
Bonus Actions
Ignited Illumination. The magmin sets itself ablaze
or extinguishes its flames. While ablaze, the magmin
sheds Bright Light in a 10-foot radius and Dim Light for
an additional 10 feet.</t>
  </si>
  <si>
    <t>Manticore</t>
  </si>
  <si>
    <t>Speed 30 ft., Fly 50 ft.</t>
  </si>
  <si>
    <t>Manticore
Large Monstrosity, Lawful Evil
AC 14		                    Initiative +3 (13)
HP 68 (8d10 + 24)
Speed 30 ft., Fly 50 ft.
MOD SAVE               MOD SAVE         MOD SAVE
Str 17 +3 +3          Dex 16 +3 +3          Con 17 +3 +3
Int 7 âˆ’2 âˆ’2           Wis 12 +1 +1          Cha 8 âˆ’1 âˆ’1
Senses Darkvision 60 ft.; Passive Perception 11
Languages Common
CR 3 (XP 700; PB +2)
Actions
Multiattack. The manticore makes three attacks, using
Rend or Tail Spike in any combination.
Rend. Melee Attack Roll: +5, reach 5 ft. Hit: 7 (1d8 + 3)
Slashing damage.
Tail Spike. Ranged Attack Roll: +5, range 100/200 ft.
Hit: 7 (1d8 + 3) Piercing damage.</t>
  </si>
  <si>
    <t>Marilith</t>
  </si>
  <si>
    <t>220 (21d10 + 105)</t>
  </si>
  <si>
    <t>Speed 40 ft., Climb 40 ft.</t>
  </si>
  <si>
    <t>Truesight 120 ft.; Passive Perception 18</t>
  </si>
  <si>
    <t>Marilith
Large Fiend (Demon), Chaotic Evil
AC 16		                    Initiative +10 (20)
HP 220 (21d10 + 105)
Speed 40 ft., Climb 40 ft.
MOD SAVE               MOD SAVE         MOD SAVE
Str 18 +4 +9          Dex 20 +5 +5          Con 20 +5 +10
Int 18 +4 +4          Wis 16 +3 +8          Cha 20 +5 +10
Skills Perception +8
Resistances Cold, Fire, Lightning
Immunities Poison; Poisoned
Senses Truesight 120 ft.; Passive Perception 18
Languages Abyssal; telepathy 120 ft.
CR 16 (XP 15,000; PB +5)
Traits
Demonic Restoration. If the marilith dies outside the
Abyss, its body dissolves into ichor, and it gains a new
body instantly, reviving with all its Hit Points some-
where in the Abyss.
Magic Resistance. The marilith has Advantage on sav-
ing throws against spells and other magical effects.
Reactive. The marilith can take one Reaction on every
turn of combat.
Actions
Multiattack. The marilith makes six Pact Blade attacks
and uses Constrict.
Pact Blade. Melee Attack Roll: +10, reach 5 ft. Hit:
10 (1d10 + 5) Slashing damage plus 7 (2d6) Ne-
crotic damage.
Constrict. Strength Saving Throw: DC 17, one Medium
or smaller creature the marilith can see within 5 feet.
Failure: 15 (2d10 + 4) Bludgeoning damage. The target
has the Grappled condition (escape DC 14), and it has
the Restrained condition until the grapple ends.
Bonus Actions
Teleport (Recharge 5â€“6). The marilith teleports up to
120 feet to an unoccupied space it can see.
Reactions
Parry. Trigger: The marilith is hit by a melee attack roll
while holding a weapon. Response: The marilith adds 5
to its AC against that attack, possibly causing it to miss.</t>
  </si>
  <si>
    <t>Medusa</t>
  </si>
  <si>
    <t>127 (17d8 + 51)</t>
  </si>
  <si>
    <t>Deception +5, Perception +4, Stealth +6</t>
  </si>
  <si>
    <t>Darkvision 150 ft.; Passive Perception 14</t>
  </si>
  <si>
    <t>Medusa
Medium Monstrosity, Lawful Evil
AC 15		                    Initiative +6 (16)
HP 127 (17d8 + 51)
Speed 30 ft.
MOD SAVE            MOD SAVE             MOD SAVE
Str 10 +0 +0         Dex 17 +3 +3        Con 16 +3 +3
Int 12 +1 +1         Wis 13 +1 +4        Cha 15 +2 +2
Skills Deception +5, Perception +4, Stealth +6
Senses Darkvision 150 ft.; Passive Perception 14
Languages Common plus one other language
CR 6 (XP 2,300; PB +3)
Actions
Multiattack. The medusa makes two Claw attacks
and one Snake Hair attack, or it makes three Poison
Ray attacks.
Claw. Melee Attack Roll: +6, reach 5 ft. Hit: 10 (2d6
+ 3) Slashing damage.
Snake Hair. Melee Attack Roll: +6, reach 5 ft. Hit:
5 (1d4 + 3) Piercing damage plus 14 (4d6) Poi-
son damage.
Poison Ray. Ranged Attack Roll: +5, range 150 ft. Hit:
11 (2d8 + 2) Poison damage.
Bonus Actions
Petrifying Gaze (Recharge 5â€“6). Constitution Saving
Throw: DC 13, each creature in a 30-foot Cone. If the
medusa sees its reflection in the Cone, the medusa
must make this save. First Failure: The target has the
Restrained condition and repeats the save at the end of
its next turn if it is still Restrained, ending the effect on
itself on a success. Second Failure: The target has the
Petrified condition instead of the Restrained condition.</t>
  </si>
  <si>
    <t>Dust Mephit</t>
  </si>
  <si>
    <t>Mephits</t>
  </si>
  <si>
    <t>17 (5d6)</t>
  </si>
  <si>
    <t>Speed 30 ft., Fly 30 ft.</t>
  </si>
  <si>
    <t>Perception +2, Stealth +4</t>
  </si>
  <si>
    <t>Poison; Exhaustion, Poisoned</t>
  </si>
  <si>
    <t>Primordial (Auran, Terran)</t>
  </si>
  <si>
    <t>Dust Mephit
Small Elemental, Neutral Evil
AC 12		                     Initiative +2 (12)
HP 17 (5d6)
Speed 30 ft., Fly 30 ft.
MOD SAVE              MOD SAVE            MOD SAVE
Str 5 âˆ’3 âˆ’3           Dex 14 +2 +2         Con 10 +0 +0
Int 9 âˆ’1 âˆ’1           Wis 11 +0 +0         Cha 10 +0 +0
Skills Perception +2, Stealth +4
Vulnerabilities Fire
Immunities Poison; Exhaustion, Poisoned
Senses Darkvision 60 ft.; Passive Perception 12
Languages Primordial (Auran, Terran)
CR 1/2 (XP 100; PB +2)
Traits
Death Burst. The mephit explodes when it dies. Dex-
terity Saving Throw: DC 10, each creature in a 5-foot
Emanation originating from the mephit. Failure: 5 (2d4)
Bludgeoning damage. Success: Half damage.
Actions
Claw. Melee Attack Roll: +4, reach 5 ft. Hit: 4 (1d4 + 2)
Slashing damage.
Blinding Breath (Recharge 6). Dexterity Saving Throw:
DC 10, each creature in a 15-foot Cone. Failure: The
target has the Blinded condition until the end of the
mephitâ€™s next turn.
Sleep (1/Day). The mephit casts the Sleep spell, requir-
ing no spell components and using Charisma as the
spellcasting ability (spell save DC 10).</t>
  </si>
  <si>
    <t>Ice Mephit</t>
  </si>
  <si>
    <t>Perception +2, Stealth +3</t>
  </si>
  <si>
    <t>Cold, Poison; Exhaustion, Poisoned</t>
  </si>
  <si>
    <t>Primordial (Aquan, Auran)</t>
  </si>
  <si>
    <t>Ice Mephit
Small Elemental, Neutral Evil
AC 11		                     Initiative +1 (11)
HP 21 (6d6)
Speed 30 ft., Fly 30 ft.
MOD SAVE              MOD SAVE          MOD SAVE
Str 7 âˆ’2 âˆ’2           Dex 13 +1 +1         Con 10 +0 +0
Int 9 âˆ’1 âˆ’1           Wis 11 +0 +0         Cha 12 +1 +1
Skills Perception +2, Stealth +3
Vulnerabilities Fire
Immunities Cold, Poison; Exhaustion, Poisoned
Senses Darkvision 60 ft.; Passive Perception 12
Languages Primordial (Aquan, Auran)
CR 1/2 (XP 100; PB +2)
Traits
Death Burst. The mephit explodes when it dies. Consti-
tution Saving Throw: DC 10, each creature in a 5-foot
Emanation originating from the mephit. Failure: 5 (2d4)
Cold damage. Success: Half damage.
Actions
Claw. Melee Attack Roll: +3, reach 5 ft. Hit: 3 (1d4 + 1)
Slashing damage plus 2 (1d4) Cold damage.
Fog Cloud (1/Day). The mephit casts Fog Cloud, re-
quiring no spell components and using Charisma as the
spellcasting ability.
Frost Breath (Recharge 6). Constitution Saving Throw:
DC 10, each creature in a 15-foot Cone. Failure: 7 (3d4)
Cold damage. Success: Half damage.</t>
  </si>
  <si>
    <t>Magma Mephit</t>
  </si>
  <si>
    <t>Fire, Poison; Exhaustion, Poisoned</t>
  </si>
  <si>
    <t>Primordial (Ignan, Terran)</t>
  </si>
  <si>
    <t>Magma Mephit
Small Elemental, Neutral Evil
AC 11		                    Initiative +1 (11)
HP 18 (4d6 + 4)
Speed 30 ft., Fly 30 ft.
MOD SAVE              MOD SAVE          MOD SAVE
Str 8 âˆ’1 âˆ’1           Dex 12 +1 +1         Con 12 +1 +1
Int 7 âˆ’2 âˆ’2           Wis 10 +0 +0         Cha 10 +0 +0
Skills Stealth +3
Vulnerabilities Cold
Immunities Fire, Poison; Exhaustion, Poisoned
Senses Darkvision 60 ft.; Passive Perception 10
Languages Primordial (Ignan, Terran)
CR 1/2 (XP 100; PB +2)
Traits
Death Burst. The mephit explodes when it dies. Dex-
terity Saving Throw: DC 11, each creature in a 5-foot
Emanation originating from the mephit. Failure: 7 (2d6)
Fire damage. Success: Half damage.
Actions
Claw. Melee Attack Roll: +3, reach 5 ft. Hit: 3 (1d4 + 1)
Slashing damage plus 3 (1d6) Fire damage.
Fire Breath (Recharge 6). Dexterity Saving Throw: DC
11, each creature in a 15-foot Cone. Failure: 7 (2d6) Fire
damage. Success: Half damage.</t>
  </si>
  <si>
    <t>Steam Mephit</t>
  </si>
  <si>
    <t>Primordial (Aquan, Ignan)</t>
  </si>
  <si>
    <t>Steam Mephit
Small Elemental, Neutral Evil
AC 10		                    Initiative +0 (10)
HP 17 (5d6)
Speed 30 ft., Fly 30 ft.
MOD SAVE              MOD SAVE          MOD SAVE
Str 5 âˆ’3 âˆ’3           Dex 11 +0 +0         Con 10 +0 +0
Int 11 +0 +0          Wis 10 +0 +0         Cha 12 +1 +1
Skills Stealth +2
Immunities Fire, Poison; Exhaustion, Poisoned
Senses Darkvision 60 ft.; Passive Perception 10
Languages Primordial (Aquan, Ignan)
CR 1/4 (XP 50; PB +2)
Traits
Blurred Form. Attack rolls against the mephit are made
with Disadvantage unless the mephit has the Incapaci-
tated condition.
Death Burst. The mephit explodes when it dies. Dex-
terity Saving Throw: DC 10, each creature in a 5-foot
Emanation originating from the mephit. Failure: 5 (2d4)
Fire damage. Success: Half damage.
Actions
Claw. Melee Attack Roll: +2, reach 5 ft. Hit: 2 (1d4)
Slashing damage plus 2 (1d4) Fire damage.
Steam Breath (Recharge 6). Constitution Saving Throw:
DC 10, each creature in a 15-foot Cone. Failure: 5 (2d4)
Fire damage, and the targetâ€™s Speed decreases by 10
feet until the end of the mephitâ€™s next turn. Success:
Half damage only. Failure or Success: Being underwater
doesnâ€™t grant Resistance to this Fire damage.</t>
  </si>
  <si>
    <t>Merfolk Skirmisher</t>
  </si>
  <si>
    <t>Merfolk</t>
  </si>
  <si>
    <t>Common, Primordial (Aquan)</t>
  </si>
  <si>
    <t>Merfolk Skirmisher
Medium Elemental, Neutral
AC 11		                   Initiative +1 (11)
HP 11 (2d8 + 2)
Speed 10 ft., Swim 40 ft.
MOD SAVE              MOD SAVE          MOD SAVE
Str 10 +0 +0          Dex 13 +1 +1         Con 12 +1 +1
Int 11 +0 +0          Wis 14 +2 +2         Cha 12 +1 +1
Senses Passive Perception 12
Languages Common, Primordial (Aquan)
CR 1/8 (XP 25; PB +2)
Traits
Amphibious. The merfolk can breathe air and water.
Actions
Ocean Spear. Melee or Ranged Attack Roll: +2, reach 5
ft. or range 20/60 ft. Hit: 3 (1d6) Piercing damage plus 2
(1d4) Cold damage. If the target is a creature, its Speed
decreases by 10 feet until the end of its next turn. Hit or
Miss: The spear magically returns to the merfolkâ€™s hand
immediately after a ranged attack.</t>
  </si>
  <si>
    <t>Merrow</t>
  </si>
  <si>
    <t>Abyssal, Primordial (Aquan)</t>
  </si>
  <si>
    <t>Merrow
Large Monstrosity, Chaotic Evil
AC 13		                   Initiative +2 (12)
HP 45 (6d10 + 12)
Speed 10 ft., Swim 40 ft.
MOD SAVE            MOD SAVE            MOD SAVE
Str 18 +4 +4         Dex 15 +2 +2         Con 15 +2 +2
Int 8 âˆ’1 âˆ’1          Wis 10 +0 +0         Cha 9 âˆ’1 âˆ’1
Senses Darkvision 60 ft.; Passive Perception 10
Languages Abyssal, Primordial (Aquan)
CR 2 (XP 450; PB +2)
Traits
Amphibious. The merrow can breathe air and water.
Actions
Multiattack. The merrow makes two attacks, using Bite,
Claw, or Harpoon in any combination.
Bite. Melee Attack Roll: +6, reach 5 ft. Hit: 6 (1d4 + 4)
Piercing damage, and the target has the Poisoned con-
dition until the end of the merrowâ€™s next turn.
Claw. Melee Attack Roll: +6, reach 5 ft. Hit: 9 (2d4 + 4)
Slashing damage.
Harpoon. Melee or Ranged Attack Roll: +6, reach 5 ft.
or range 20/60 ft. Hit: 11 (2d6 + 4) Piercing damage.
If the target is a Large or smaller creature, the merrow
pulls the target up to 15 feet straight toward itself.</t>
  </si>
  <si>
    <t>Mimic</t>
  </si>
  <si>
    <t>Acid; Prone</t>
  </si>
  <si>
    <t>Mimic
Medium Monstrosity, Neutral
AC 12		                    Initiative +3 (13)
HP 58 (9d8 + 18)
Speed 20 ft.
MOD SAVE            MOD SAVE            MOD SAVE
Str 17 +3 +3         Dex 12 +1 +1         Con 15 +2 +2
Int 5 âˆ’3 âˆ’3          Wis 13 +1 +1         Cha 8 âˆ’1 âˆ’1
Skills Stealth +5
Immunities Acid; Prone
Senses Darkvision 60 ft.; Passive Perception 11
Languages None
CR 2 (XP 450; PB +2)
Traits
Adhesive (Object Form Only). The mimic adheres to
anything that touches it. A Huge or smaller creature ad-
hered to the mimic has the Grappled condition (escape
DC 13). Ability checks made to escape this grapple
have Disadvantage.
Actions
Bite. Melee Attack Roll: +5 (with Advantage if the target
is Grappled by the mimic), reach 5 ft. Hit: 7 (1d8 + 3)
Piercing damageâ€”or 12 (2d8 + 3) Piercing damage
if the target is Grappled by the mimicâ€”plus 4 (1d8)
Acid damage.
Pseudopod. Melee Attack Roll: +5, reach 5 ft. Hit: 7
(1d8 + 3) Bludgeoning damage plus 4 (1d8) Acid dam-
age. If the target is a Large or smaller creature, it has
the Grappled condition (escape DC 13). Ability checks
made to escape this grapple have Disadvantage.
Bonus Actions
Shape-Shift. The mimic shape-shifts to resemble a Me-
dium or Small object while retaining its game statistics,
or it returns to its true blob form. Any equipment it is
wearing or carrying isnâ€™t transformed.</t>
  </si>
  <si>
    <t>Minotaur of Baphomet</t>
  </si>
  <si>
    <t>Perception +7, Survival +7</t>
  </si>
  <si>
    <t>Abyssal</t>
  </si>
  <si>
    <t>Minotaur of Baphomet
Large Monstrosity, Chaotic Evil
AC 14		                    Initiative +0 (10)
HP 85 (10d10 + 30)
Speed 40 ft.
MOD SAVE            MOD SAVE            MOD SAVE
Str 18 +4 +4         Dex 11 +0 +0        Con 16 +3 +3
Int 6 âˆ’2 âˆ’2          Wis 16 +3 +3        Cha 9 âˆ’1 âˆ’1
Skills Perception +7, Survival +7
Senses Darkvision 60 ft.; Passive Perception 17
Languages Abyssal
CR 3 (XP 700; PB +2)
Actions
Abyssal Glaive. Melee Attack Roll: +6, reach 10 ft.
Hit: 10 (1d12 + 4) Slashing damage plus 10 (3d6) Ne-
crotic damage.
Gore (Recharge 5â€“6). Melee Attack Roll: +6, reach
5 ft. Hit: 18 (4d6 + 4) Piercing damage. If the target is a
Large or smaller creature and the minotaur moved 10+
feet straight toward it immediately before the hit, the
target takes an extra 10 (3d6) Piercing damage and has
the Prone condition.</t>
  </si>
  <si>
    <t>Mummy</t>
  </si>
  <si>
    <t>Mummies</t>
  </si>
  <si>
    <t>Common plus two other languages</t>
  </si>
  <si>
    <t>Mummy
Medium or Small Undead, Lawful Evil
AC 11		                   Initiative âˆ’1 (9)
HP 58 (9d8 + 18)
Speed 20 ft.
MOD SAVE           MOD SAVE            MOD SAVE
Str 16 +3 +3         Dex 8 âˆ’1 âˆ’1         Con 15 +2 +2
Int 6 âˆ’2 âˆ’2          Wis 12 +1 +3        Cha 12 +1 +1
Vulnerabilities Fire
Immunities Necrotic, Poison; Charmed, Exhaustion,
Frightened, Paralyzed, Poisoned
Senses Darkvision 60 ft.; Passive Perception 11
Languages Common plus two other languages
CR 3 (XP 700; PB +2)
Actions
Multiattack. The mummy makes two Rotting Fist at-
tacks and uses Dreadful Glare.
Rotting Fist. Melee Attack Roll: +5, reach 5 ft. Hit: 8
(1d10 + 3) Bludgeoning damage plus 10 (3d6) Necrotic
damage. If the target is a creature, it is cursed. While
cursed, the target canâ€™t regain Hit Points, its Hit Point
maximum doesnâ€™t return to normal when finishing a
Long Rest, and its Hit Point maximum decreases by 10
(3d6) every 24 hours that elapse. A creature dies and
turns to dust if reduced to 0 Hit Points by this attack.
Dreadful Glare. Wisdom Saving Throw: DC 11, one
creature the mummy can see within 60 feet. Failure:
The target has the Frightened condition until the end of
the mummyâ€™s next turn. Success: The target is immune
to this mummyâ€™s Dreadful Glare for 24 hours.</t>
  </si>
  <si>
    <t>Mummy Lord</t>
  </si>
  <si>
    <t>Cleric</t>
  </si>
  <si>
    <t>187 (25d8 + 75)</t>
  </si>
  <si>
    <t>History +5, Perception +9, Religion +5</t>
  </si>
  <si>
    <t>Truesight 60 ft.; Passive Perception 19</t>
  </si>
  <si>
    <t>Mummy Lord
Medium or Small Undead (Cleric), Lawful Evil
AC 17		                   Initiative +10 (20)
HP 187 (25d8 + 75)
Speed 30 ft.
MOD SAVE           MOD SAVE            MOD SAVE
Str 18 +4 +4         Dex 10 +0 +0        Con 17 +3 +3
Int 11 +0 +5         Wis 19 +4 +9        Cha 16 +3 +3
Skills History +5, Perception +9, Religion +5
Vulnerabilities Fire
Immunities Necrotic, Poison; Charmed, Exhaustion,
Frightened, Paralyzed, Poisoned
Senses Truesight 60 ft.; Passive Perception 19
Languages Common plus three other languages
CR 15 (XP 13,000, or 15,000 in lair; PB +5)
Traits
Legendary Resistance (3/Day, or 4/Day in Lair). If
the mummy fails a saving throw, it can choose to suc-
ceed instead.
Magic Resistance. The mummy has Advantage on sav-
ing throws against spells and other magical effects.
Undead Restoration. If destroyed, the mummy gains a
new body in 24 hours if its heart is intact, reviving with
all its Hit Points. The new body appears in an unoccu-
pied space within the mummyâ€™s lair. The heart is a Tiny
object that has AC 17, HP 10, and Immunity to all dam-
age except Fire.
Actions
Multiattack. The mummy makes one Rotting Fist
or Channel Negative Energy attack, and it uses
Dreadful Glare.
Rotting Fist. Melee Attack Roll: +9, reach 5 ft. Hit: 15
(2d10 + 4) Bludgeoning damage plus 10 (3d6) Necrotic
damage. If the target is a creature, it is cursed. While
cursed, the target canâ€™t regain Hit Points, it gains no
benefit from finishing a Long Rest, and its Hit Point
maximum decreases by 10 (3d6) every 24 hours that
elapse. A creature dies and turns to dust if reduced to 0
Hit Points by this attack.
Channel Negative Energy. Ranged Attack Roll: +9,
range 60 ft. Hit: 25 (6d6 + 4) Necrotic damage.
Dreadful Glare. Wisdom Saving Throw: DC 17, one
creature the mummy can see within 60 feet. Failure: 25
(6d6 + 4) Psychic damage, and the target has the Para-
lyzed condition until the end of the mummyâ€™s next turn.
Spellcasting. The mummy casts one of the following
spells, requiring no Material components and using
Wisdom as the spellcasting ability (spell save DC 17, +9
to hit with spell attacks):
At Will: Dispel Magic, Thaumaturgy
1/Day Each: Animate Dead, Harm, Insect Plague (level
7 version)
Reactions
Whirlwind of Sand. Trigger: The mummy is hit by an
attack roll. Response: The mummy adds 2 to its AC
against the attack, possibly causing the attack to miss,
and the mummy teleports up to 60 feet to an unoccu-
pied space it can see. Each creature of its choice that
it can see within 5 feet of its destination space has
the Blinded condition until the end of the mummyâ€™s
next turn.
Legendary Actions
Legendary Action Uses: 3 (4 in Lair). Immediately after
another creatureâ€™s turn, the mummy can expend a use to
take one of the following actions. The mummy regains all
expended uses at the start of each of its turns.
Dread Command. The mummy casts Command (level
2 version), using the same spellcasting ability as Spell-
casting. The mummy canâ€™t take this action again until
the start of its next turn.
Glare. The mummy uses Dreadful Glare. The mummy
canâ€™t take this action again until the start of its
next turn.
Necrotic Strike. The mummy makes one Rotting Fist or
Channel Negative Energy attack.</t>
  </si>
  <si>
    <t>Nalfeshnee</t>
  </si>
  <si>
    <t>184 (16d10 + 96)</t>
  </si>
  <si>
    <t>Speed 20 ft., Fly 30 ft.</t>
  </si>
  <si>
    <t>Poison; Frightened, Poisoned</t>
  </si>
  <si>
    <t>Truesight 120 ft.; Passive Perception 11</t>
  </si>
  <si>
    <t>Nalfeshnee
Large Fiend (Demon), Chaotic Evil
AC 18		                    Initiative +5 (15)
HP 184 (16d10 + 96)
Speed 20 ft., Fly 30 ft.
MOD SAVE            MOD SAVE            MOD SAVE
Str 21 +5 +5          Dex 10 +0 +0       Con 22 +6 +11
Int 19 +4 +9          Wis 12 +1 +6       Cha 15 +2 +7
Resistances Cold, Fire, Lightning
Immunities Poison; Frightened, Poisoned
Senses Truesight 120 ft.; Passive Perception 11
Languages Abyssal; telepathy 120 ft.
CR 13 (XP 10,000; PB +5)
Traits
Demonic Restoration. If the nalfeshnee dies outside the
Abyss, its body dissolves into ichor, and it gains a new
body instantly, reviving with all its Hit Points some-
where in the Abyss.
Magic Resistance. The nalfeshnee has Advantage on
saving throws against spells and other magical effects.
Actions
Multiattack. The nalfeshnee makes three Rend attacks.
Rend. Melee Attack Roll: +10, reach 10 ft. Hit: 16 (2d10
+ 5) Slashing damage plus 11 (2d10) Force damage.
Teleport. The nalfeshnee teleports up to 120 feet to an
unoccupied space it can see.
Bonus Actions
Horror Nimbus (Recharge 5â€“6). Wisdom Saving
Throw: DC 15, each creature in a 15-foot Emanation
originating from the nalfeshnee. Failure: 28 (8d6) Psy-
chic damage, and the target has the Frightened condi-
tion for 1 minute, until it takes damage, or until it ends
its turn with the nalfeshnee out of line of sight. Success:
The target is immune to this nalfeshneeâ€™s Horror Nim-
bus for 24 hours.
Reactions
Pursuit. Trigger: Another creature the nalfeshnee can
see ends its move within 120 feet of the nalfeshnee.
Response: The nalfeshnee uses Teleport, but its des-
tination space must be within 10 feet of the trigger-
ing creature.</t>
  </si>
  <si>
    <t>Night Hag</t>
  </si>
  <si>
    <t>Deception +6, Insight +5, Perception +5, Stealth +5</t>
  </si>
  <si>
    <t>Cold, Fire</t>
  </si>
  <si>
    <t>Abyssal, Common, Infernal, Primordial</t>
  </si>
  <si>
    <t>Night Hag
Medium Fiend, Neutral Evil
AC 17		                    Initiative +5 (15)
HP 112 (15d8 + 45)
Speed 30 ft.
MOD SAVE            MOD SAVE             MOD SAVE
Str 18 +4 +4         Dex 15 +2 +2        Con 16 +3 +3
Int 16 +3 +3         Wis 14 +2 +2        Cha 16 +3 +3
Skills Deception +6, Insight +5, Perception +5, Stealth +5
Resistances Cold, Fire
Immunities Charmed
Senses Darkvision 120 ft.; Passive Perception 15
Languages Abyssal, Common, Infernal, Primordial
CR 5 (XP 1,800; PB +3)
Traits
Coven Magic. While within 30 feet of at least two hag
allies, the hag can cast one of the following spells,
requiring no Material components, using the spellâ€™s
normal casting time, and using Intelligence as the spell-
casting ability (spell save DC 14): Augury, Find Familiar,
Identify, Locate Object, Scrying, or Unseen Servant.
The hag must finish a Long Rest before using this trait to
cast that spell again.
Magic Resistance. The hag has Advantage on saving
throws against spells and other magical effects.
Soul Bag. The hag has a soul bag. While holding or
carrying the bag, the hag can use its Nightmare Haunt-
ing action.
The bag has AC 15, HP 20, and Resistance to all dam-
age. The bag turns to dust if reduced to 0 Hit Points. If
the bag is destroyed, any souls the bag is holding are
released. The hag can create a new bag after 7 days.
Actions
Multiattack. The hag makes two Claw attacks.
Claw. Melee Attack Roll: +7, reach 5 ft. Hit: 13 (2d8
+ 4) Slashing damage.
Nightmare Haunting (1/Day; Requires Soul Bag).
While on the Ethereal Plane, the hag casts Dream, us-
ing the same spellcasting ability as Spellcasting. Only
the hag can serve as the spellâ€™s messenger, and the tar-
get must be a creature the hag can see on the Material
Plane. The spell fails and is wasted if the target is under
the effect of the Protection from Evil and Good spell or
within a Magic Circle spell.
If the target takes damage from the Dream spell, the
targetâ€™s Hit Point maximum decreases by an amount
equal to that damage. If the spell kills the target, its soul
is trapped in the hagâ€™s soul bag, and the target canâ€™t be
raised from the dead until its soul is released.
Spellcasting. The hag casts one of the following spells,
requiring no Material components and using Intelli-
gence as the spellcasting ability (spell save DC 14):
At Will: Detect Magic, Etherealness, Magic Missile
(level 4 version)
2/Day Each: Phantasmal Killer, Plane Shift (self only)
Bonus Actions
Shape-Shift. The hag shape-shifts into a Small or Me-
dium Humanoid, or it returns to its true form. Other
than its size, its game statistics are the same in each
form. Any equipment it is wearing or carrying isnâ€™t
transformed.</t>
  </si>
  <si>
    <t>Nightmare</t>
  </si>
  <si>
    <t>Speed 60 ft., Fly 90 ft. (hover)</t>
  </si>
  <si>
    <t>Understands Abyssal, Common, and Infernal but canâ€™t speak</t>
  </si>
  <si>
    <t>Nightmare
Large Fiend, Neutral Evil
AC 13		                      Initiative +2 (12)
HP 68 (8d10 + 24)
Speed 60 ft., Fly 90 ft. (hover)
MOD SAVE              MOD SAVE            MOD SAVE
Str 18 +4 +4          Dex 15 +2 +2          Con 16 +3 +3
Int 10 +0 +0          Wis 13 +1 +1          Cha 15 +2 +2
Immunities Fire
Senses Passive Perception 11
Languages Understands Abyssal, Common, and Infernal
but canâ€™t speak
CR 3 (XP 700; PB +2)
Traits
Confer Fire Resistance. The nightmare can grant Re-
sistance to Fire damage to a rider while it is on the
nightmare.
Illumination. The nightmare sheds Bright Light in a 10-
foot radius and Dim Light for an additional 10 feet.
Actions
Hooves. Melee Attack Roll: +6, reach 5 ft. Hit: 13 (2d8
+ 4) Bludgeoning damage plus 10 (3d6) Fire damage.
Ethereal Stride. The nightmare and up to three willing
creatures within 5 feet of it teleport to the Ethereal
Plane from the Material Plane or vice versa.</t>
  </si>
  <si>
    <t>Noble</t>
  </si>
  <si>
    <t>Deception +5, Insight +4, Persuasion +5</t>
  </si>
  <si>
    <t>Breastplate, Rapier</t>
  </si>
  <si>
    <t>Noble
Medium or Small Humanoid, Neutral
AC 15		                    Initiative +1 (11)
HP 9 (2d8)
Speed 30 ft.
MOD SAVE             MOD SAVE            MOD SAVE
Str 11 +0 +0
Int 12 +1 +1
Dex 12 +1 +1
Wis 14 +2 +2
Con 11 +0 +0
Cha 16 +3 +3
Skills Deception +5, Insight +4, Persuasion +5
Gear Breastplate, Rapier
Senses Passive Perception 12
Languages Common plus two other languages
CR 1/8 (XP 25; PB +2)
Actions
Rapier. Melee Attack Roll: +3, reach 5 ft. Hit: 5 (1d8
+ 1) Piercing damage.
Reactions
Parry. Trigger: The noble is hit by a melee attack roll
while holding a weapon. Response: The noble adds 2
to its AC against that attack, possibly causing it to miss.</t>
  </si>
  <si>
    <t>Ochre Jelly</t>
  </si>
  <si>
    <t>52 (7d10 + 14)</t>
  </si>
  <si>
    <t>Lightning, Slashing; Charmed, Deafened, Exhaustion, Frightened, Grappled, Prone, Restrained</t>
  </si>
  <si>
    <t>Ochre Jelly
Large Ooze, Unaligned
AC 8		                     Initiative âˆ’2 (8)
HP 52 (7d10 + 14)
Speed 20 ft., Climb 20 ft.
MOD SAVE             MOD SAVE            MOD SAVE
Str 15 +2 +2         Dex 6 âˆ’2 âˆ’2          Con 14 +2 +2
Int 2 âˆ’4 âˆ’4          Wis 6 âˆ’2 âˆ’2          Cha 1 âˆ’5 âˆ’5
Resistances Acid
Immunities Lightning, Slashing; Charmed, Deafened,
Exhaustion, Frightened, Grappled, Prone, Restrained
Senses Blindsight 60 ft.; Passive Perception 8
Languages None
CR 2 (XP 450; PB +2)
Traits
Amorphous. The jelly can move through a space
as narrow as 1 inch without expending extra move-
ment to do so.
Spider Climb. The jelly can climb difficult surfaces,
including along ceilings, without needing to make an
ability check.
Actions
Pseudopod. Melee Attack Roll: +4, reach 5 ft. Hit: 12
(3d6 + 2) Acid damage.
Reactions
Split. Trigger: While the jelly is Large or Medium and
has 10+ Hit Points, it becomes Bloodied or is subjected
to Lightning or Slashing damage. Response: The jelly
splits into two new Ochre Jellies. Each new jelly is one
size smaller than the original jelly and acts on its Initia-
tive. The original jellyâ€™s Hit Points are divided evenly
between the new jellies (round down).</t>
  </si>
  <si>
    <t>Ogre</t>
  </si>
  <si>
    <t>Greatclub, Javelins (3)</t>
  </si>
  <si>
    <t>Ogre
Large Giant, Chaotic Evil
AC 11		                     Initiative âˆ’1 (9)
HP 68 (8d10 + 24)
Speed 40 ft.
MOD SAVE              MOD SAVE           MOD SAVE
Str 19 +4 +4          Dex 8 âˆ’1 âˆ’1          Con 16 +3 +3
Int 5 âˆ’3 âˆ’3           Wis 7 âˆ’2 âˆ’2          Cha 7 âˆ’2 âˆ’2
Gear Greatclub, Javelins (3)
Senses Darkvision 60 ft.; Passive Perception 8
Languages Common, Giant
CR 2 (XP 450; PB +2)
Actions
Greatclub. Melee Attack Roll: +6, reach 5 ft. Hit: 13
(2d8 + 4) Bludgeoning damage.
Javelin. Melee or Ranged Attack Roll: +6, reach 5 ft. or
range 30/120 ft. Hit: 11 (2d6 + 4) Piercing damage.</t>
  </si>
  <si>
    <t>Oni</t>
  </si>
  <si>
    <t>Speed 30 ft., Fly 30 ft. (hover)</t>
  </si>
  <si>
    <t>Arcana +5, Deception +8, Perception +4</t>
  </si>
  <si>
    <t>Oni
Large Fiend, Lawful Evil
AC 17		                      Initiative +0 (10)
HP 119 (14d10 + 42)
Speed 30 ft., Fly 30 ft. (hover)
MOD SAVE              MOD SAVE           MOD SAVE
Str 19 +4 +4          Dex 11 +0 +3         Con 16 +3 +6
Int 14 +2 +2          Wis 12 +1 +4         Cha 15 +2 +5
Skills Arcana +5, Deception +8, Perception +4
Resistances Cold
Senses Darkvision 60 ft.; Passive Perception 14
Languages Common, Giant
CR 7 (XP 2,900; PB +3)
Traits
Regeneration. The oni regains 10 Hit Points at the start
of each of its turns if it has at least 1 Hit Point.
Actions
Multiattack. The oni makes two Claw or Nightmare
Ray attacks. It can replace one attack with a use of
Spellcasting.
Claw. Melee Attack Roll: +7, reach 10 ft. Hit: 10 (1d12
+ 4) Slashing damage plus 9 (2d8) Necrotic damage.
Nightmare Ray. Ranged Attack Roll: +5, range 60 ft.
Hit: 9 (2d6 + 2) Psychic damage, and the target has
the Frightened condition until the start of the oniâ€™s
next turn.
Shape-Shift. The oni shape-shifts into a Small or Me-
dium Humanoid or a Large Giant, or it returns to its
true form. Other than its size, its game statistics are the
same in each form. Any equipment it is wearing or car-
rying isnâ€™t transformed.
Spellcasting. The oni casts one of the following spells,
requiring no Material components and using Charisma
as the spellcasting ability (spell save DC 13):
1/Day Each: Charm Person (level 2 version), Darkness,
Gaseous Form, Sleep
Bonus Actions
Invisibility. The oni casts Invisibility on itself, requiring
no spell components and using the same spellcasting
ability as Spellcasting.</t>
  </si>
  <si>
    <t>Otyugh</t>
  </si>
  <si>
    <t>104 (11d10 + 44)</t>
  </si>
  <si>
    <t>Otyugh; telepathy 120 ft. (doesnâ€™t allow the receiving creature to respond telepathically)</t>
  </si>
  <si>
    <t>Otyugh
Large Aberration, Neutral
AC 14		                     Initiative +0 (10)
HP 104 (11d10 + 44)
Speed 30 ft.
MOD SAVE              MOD SAVE             MOD SAVE
Str 16 +3 +3          Dex 11 +0 +0         Con 19 +4 +7
Int 6 âˆ’2 âˆ’2           Wis 13 +1 +1         Cha 6 âˆ’2 âˆ’2
Senses Darkvision 120 ft.; Passive Perception 11
Languages Otyugh; telepathy 120 ft. (doesnâ€™t allow the
receiving creature to respond telepathically)
CR 5 (XP 1,800; PB +3)
Actions
Multiattack. The otyugh makes one Bite attack and two
Tentacle attacks.
Bite. Melee Attack Roll: +6, reach 5 ft. Hit: 12 (2d8 + 3)
Piercing damage, and the target has the Poisoned con-
dition. Whenever the Poisoned target finishes a Long
Rest, it is subjected to the following effect. Constitution
Saving Throw: DC 15. Failure: The targetâ€™s Hit Point
maximum decreases by 5 (1d10) and doesnâ€™t return to
normal until the Poisoned condition ends on the target.
Success: The Poisoned condition ends.
Tentacle. Melee Attack Roll: +6, reach 10 ft. Hit: 12
(2d8 + 3) Piercing damage. If the target is a Medium or
smaller creature, it has the Grappled condition (escape
DC 13) from one of two tentacles.
Tentacle Slam. Constitution Saving Throw: DC 14, each
creature Grappled by the otyugh. Failure: 16 (3d8 + 3)
Bludgeoning damage, and the target has the Stunned
condition until the start of the otyughâ€™s next turn. Suc-
cess: Half damage only.</t>
  </si>
  <si>
    <t>Owlbear</t>
  </si>
  <si>
    <t>Owlbear
Large Monstrosity, Unaligned
AC 13		                    Initiative +1 (11)
HP 59 (7d10 + 21)
Speed 40 ft., Climb 40 ft.
MOD SAVE              MOD SAVE          MOD SAVE
Str 20 +5 +5          Dex 12 +1 +1         Con 17 +3 +3
Int 3 âˆ’4 âˆ’4           Wis 12 +1 +1         Cha 7 âˆ’2 âˆ’2
Skills Perception +5
Senses Darkvision 60 ft.; Passive Perception 15
Languages None
CR 3 (XP 700; PB +2)
Actions
Multiattack. The owlbear makes two Rend attacks.
Rend. Melee Attack Roll: +7, reach 5 ft. Hit: 14 (2d8
+ 5) Slashing damage.</t>
  </si>
  <si>
    <t>Pegasus</t>
  </si>
  <si>
    <t>Speed 60 ft., Fly 90 ft.</t>
  </si>
  <si>
    <t>Understands Celestial, Common, Elvish, and Sylvan but canâ€™t speak</t>
  </si>
  <si>
    <t>Pegasus
Large Celestial, Chaotic Good
AC 12		                    Initiative +2 (12)
HP 59 (7d10 + 21)
Speed 60 ft., Fly 90 ft.
MOD SAVE              MOD SAVE          MOD SAVE
Str 18 +4 +4          Dex 15 +2 +4         Con 16 +3 +5
Int 10 +0 +0          Wis 15 +2 +4         Cha 13 +1 +3
Skills Perception +6
Senses Passive Perception 16
Languages Understands Celestial, Common, Elvish, and
Sylvan but canâ€™t speak
CR 2 (XP 450; PB +2)
Actions
Hooves. Melee Attack Roll: +6, reach 5 ft. Hit: 7 (1d6
+ 4) Bludgeoning damage plus 5 (2d4) Radiant damage.</t>
  </si>
  <si>
    <t>Phase Spider</t>
  </si>
  <si>
    <t>45 (7d10 + 7)</t>
  </si>
  <si>
    <t>Stealth +7</t>
  </si>
  <si>
    <t>Phase Spider
Large Monstrosity, Unaligned
AC 14		                    Initiative +3 (13)
HP 45 (7d10 + 7)
Speed 30 ft., Climb 30 ft.
MOD SAVE            MOD SAVE            MOD SAVE
Str 15 +2 +2         Dex 16 +3 +3        Con 12 +1 +1
Int 6 âˆ’2 âˆ’2          Wis 10 +0 +0        Cha 6 âˆ’2 âˆ’2
Skills Stealth +7
Senses Darkvision 60 ft.; Passive Perception 10
Languages None
CR 3 (XP 700; PB +2)
Traits
Ethereal Sight. The spider can see 60 feet into the Ethe-
real Plane while on the Material Plane and vice versa.
Spider Climb. The spider can climb difficult surfaces,
including along ceilings, without needing to make an
ability check.
Web Walker. The spider ignores movement restrictions
caused by webs, and the spider knows the location of
any other creature in contact with the same web.
Actions
Multiattack. The spider makes two Bite attacks.
Bite. Melee Attack Roll: +5, reach 5 ft. Hit: 8 (1d10 +
3) Piercing damage plus 9 (2d8) Poison damage. If this
damage reduces the target to 0 Hit Points, the target
becomes Stable, and it has the Poisoned condition for 1
hour. While Poisoned, the target also has the Paralyzed
condition.
Bonus Actions
Ethereal Jaunt. The spider teleports from the Material
Plane to the Ethereal Plane or vice versa.</t>
  </si>
  <si>
    <t>Pirate</t>
  </si>
  <si>
    <t>Pirates</t>
  </si>
  <si>
    <t>Daggers (6), Leather Armor</t>
  </si>
  <si>
    <t>Pirate
Medium or Small Humanoid, Neutral
AC 14		         Initiative +5 (15)
HP 33 (6d8 + 6)
Speed 30 ft.
MOD SAVE            MOD SAVE            MOD SAVE
Str 10 +0 +0         Dex 16 +3 +5        Con 12 +1 +1
Int 8 âˆ’1 âˆ’1          Wis 12 +1 +1        Cha 14 +2 +4
Gear Daggers (6), Leather Armor
Senses Passive Perception 11
Languages Common plus one other language
CR 1 (XP 200; PB +2)
Actions
Multiattack. The pirate makes two Dagger attacks.
It can replace one attack with a use of Enthrall-
ing Panache.
Dagger. Melee or Ranged Attack Roll: +5, reach 5 ft. or
range 20/60 ft. Hit: 5 (1d4 + 3) Piercing damage.
Enthralling Panache. Wisdom Saving Throw: DC 12,
one creature the pirate can see within 30 feet. Failure:
The target has the Charmed condition until the start of
the pirateâ€™s next turn.</t>
  </si>
  <si>
    <t>Pirate Captain</t>
  </si>
  <si>
    <t>84 (13d8 + 26)</t>
  </si>
  <si>
    <t>Acrobatics +7, Perception +5</t>
  </si>
  <si>
    <t>Pistol, Rapier</t>
  </si>
  <si>
    <t>Pirate Captain
Medium or Small Humanoid, Neutral
AC 17		           Initiative +7 (17)
HP 84 (13d8 + 26)
Speed 30 ft.
MOD SAVE             MOD SAVE            MOD SAVE
Str 10 +0 +3          Dex 18 +4 +7        Con 14 +2 +2
Int 10 +0 +0          Wis 14 +2 +5        Cha 17 +3 +6
Skills Acrobatics +7, Perception +5
Gear Pistol, Rapier
Senses Passive Perception 15
Languages Common plus one other language
CR 6 (XP 2,300; PB +3)
Actions
Multiattack. The pirate makes three attacks, using
Rapier or Pistol in any combination.
Rapier. Melee Attack Roll: +7, reach 5 ft. Hit: 13 (2d8
+ 4) Piercing damage, and the pirate has Advantage on
the next attack roll it makes before the end of this turn.
Pistol. Ranged Attack Roll: +7, range 30/90 ft. Hit: 15
(2d10 + 4) Piercing damage.
Bonus Actions
Captainâ€™s Charm. Wisdom Saving Throw: DC 14, one
creature the pirate can see within 30 feet. Failure: The
target has the Charmed condition until the start of the
pirateâ€™s next turn.
Reactions
Riposte. Trigger: The pirate is hit by a melee attack roll
while holding a weapon. Response: The pirate adds 3
to its AC against that attack, possibly causing it to miss.
On a miss, the pirate makes one Rapier attack against
the triggering creature if within range.</t>
  </si>
  <si>
    <t>Pit Fiend</t>
  </si>
  <si>
    <t>337 (27d10 + 189)</t>
  </si>
  <si>
    <t>Perception +10, Persuasion +19</t>
  </si>
  <si>
    <t>Truesight 120 ft.; Passive Perception 20</t>
  </si>
  <si>
    <t>Pit Fiend
Large Fiend (Devil), Lawful Evil
AC 21		                    Initiative +14 (24)
HP 337 (27d10 + 189)
Speed 30 ft., Fly 60 ft.
MOD SAVE
Str 26 +8 +8
MOD SAVE
Dex 14 +2 +8 Con 24 +7 +7
MOD SAVE
Int 22 +6 +6         Wis 18 +4 +10 Cha 24 +7 +7
Skills Perception +10, Persuasion +19
Resistances Cold
Immunities Fire, Poison; Poisoned
Senses Truesight 120 ft.; Passive Perception 20
Languages Infernal; telepathy 120 ft.
CR 20 (XP 25,000; PB +6)
Traits
Diabolical Restoration. If the pit fiend dies outside the
Nine Hells, its body disappears in sulfurous smoke, and
it gains a new body instantly, reviving with all its Hit
Points somewhere in the Nine Hells.
Fear Aura. The pit fiend emanates an aura in a 20-
foot Emanation while it doesnâ€™t have the Incapacitated
condition. Wisdom Saving Throw: DC 21, any enemy
that starts its turn in the aura. Failure: The target has
the Frightened condition until the start of its next turn.
Success: The target is immune to this pit fiendâ€™s aura
for 24 hours.
Legendary Resistance (4/Day). If the pit fiend fails a
saving throw, it can choose to succeed instead.
Magic Resistance. The pit fiend has Advantage on sav-
ing throws against spells and other magical effects.
Actions
Multiattack. The pit fiend makes one Bite attack, two
Devilish Claw attacks, and one Fiery Mace attack.
Bite. Melee Attack Roll: +14, reach 10 ft. Hit: 18 (3d6
+ 8) Piercing damage. If the target is a creature, it must
make the following saving throw. Constitution Saving
Throw: DC 21. Failure: The target has the Poisoned
condition. While Poisoned, the target canâ€™t regain Hit
Points and takes 21 (6d6) Poison damage at the start of
each of its turns, and it repeats the save at the end of
each of its turns, ending the effect on itself on a suc-
cess. After 1 minute, it succeeds automatically.
Devilish Claw. Melee Attack Roll: +14, reach 10 ft. Hit:
26 (4d8 + 8) Necrotic damage.
Fiery Mace. Melee Attack Roll: +14, reach 10 ft. Hit: 22
(4d6 + 8) Force damage plus 21 (6d6) Fire damage.
Hellfire Spellcasting (Recharge 4â€“6). The pit fiend
casts Fireball (level 5 version) twice, requiring no Mate-
rial components and using Charisma as the spellcasting
ability (spell save DC 21). It can replace one Fireball
with Hold Monster (level 7 version) or Wall of Fire.</t>
  </si>
  <si>
    <t>Planetar</t>
  </si>
  <si>
    <t>262 (21d10 + 147)</t>
  </si>
  <si>
    <t>Speed 40 ft., Fly 120 ft. (hover)</t>
  </si>
  <si>
    <t>Perception +11</t>
  </si>
  <si>
    <t>Planetar
Large Celestial (Angel), Lawful Good
AC 19		                      Initiative +10 (20)
HP 262 (21d10 + 147)
Speed 40 ft., Fly 120 ft. (hover)
MOD SAVE              MOD SAVE           MOD SAVE
Str 24 +7 +12 Dex 20 +5 +5 Con 24 +7 +12
Int 19 +4 +4 Wis 22 +6 +11 Cha 25 +7 +12
Skills Perception +11
Resistances Radiant
Immunities Charmed, Exhaustion, Frightened
Senses Truesight 120 ft.; Passive Perception 21
Languages All; telepathy 120 ft.
CR 16 (XP 15,000; PB +5)
Traits
Divine Awareness. The planetar knows if it hears a lie.
Exalted Restoration. If the planetar dies outside Mount
Celestia, its body disappears, and it gains a new body
instantly, reviving with all its Hit Points somewhere in
Mount Celestia.
Magic Resistance. The planetar has Advantage on sav-
ing throws against spells and other magical effects.
Actions
Multiattack. The planetar makes three Radiant Sword
attacks or uses Holy Burst twice.
Radiant Sword. Melee Attack Roll: +12, reach 10 ft.
Hit: 14 (2d6 + 7) Slashing damage plus 18 (4d8) Radi-
ant damage.
Holy Burst. Dexterity Saving Throw: DC 20, each en-
emy in a 20-foot-radius Sphere centered on a point the
planetar can see within 120 feet. Failure: 24 (7d6) Radi-
ant damage. Success: Half damage.
Spellcasting. The planetar casts one of the following
spells, requiring no Material components and using
Charisma as spellcasting ability (spell save DC 20):
At Will: Detect Evil and Good
1/Day Each: Commune, Control Weather, Dispel Evil
and Good, Raise Dead
Bonus Actions
Divine Aid (2/Day). The planetar casts Cure Wounds,
Invisibility, Lesser Restoration, or Remove Curse, using
the same spellcasting ability as Spellcasting.</t>
  </si>
  <si>
    <t>Priest Acolyte</t>
  </si>
  <si>
    <t>Priests</t>
  </si>
  <si>
    <t>Medicine +4, Religion +2</t>
  </si>
  <si>
    <t>Chain Shirt, Holy Symbol, Mace</t>
  </si>
  <si>
    <t>Priest Acolyte
Medium or Small Humanoid (Cleric), Neutral
AC 13		                   Initiative +0 (10)
HP 11 (2d8 + 2)
Speed 30 ft.
MOD SAVE            MOD SAVE           MOD SAVE
Str 14 +2 +2         Dex 10 +0 +0        Con 12 +1 +1
Int 10 +0 +0         Wis 14 +2 +2        Cha 11 +0 +0
Skills Medicine +4, Religion +2
Gear Chain Shirt, Holy Symbol, Mace
Senses Passive Perception 12
Languages Common
CR 1/4 (XP 50; PB +2)
Actions
Mace. Melee Attack Roll: +4, reach 5 ft. Hit: 5 (1d6
+ 2) Bludgeoning damage plus 2 (1d4) Radiant damage.
Radiant Flame. Ranged Attack Roll: +4, range 60 ft.
Hit: 7 (2d6) Radiant damage.
Spellcasting. The priest casts one of the following
spells, using Wisdom as the spellcasting ability:
At Will: Light, Thaumaturgy
Bonus Actions
Divine Aid (1/Day). The priest casts Bless, Healing
Word, or Sanctuary, using the same spellcasting ability
as Spellcasting.</t>
  </si>
  <si>
    <t>Priest</t>
  </si>
  <si>
    <t>Medicine +7, Perception +5, Religion +5</t>
  </si>
  <si>
    <t>Priest
Medium or Small Humanoid (Cleric), Neutral
AC 13		                   Initiative +0 (10)
HP 38 (7d8 + 7)
Speed 30 ft.
MOD SAVE            MOD SAVE           MOD SAVE
Str 16 +3 +3         Dex 10 +0 +0        Con 12 +1 +1
Int 13 +1 +1         Wis 16 +3 +3        Cha 13 +1 +1
Skills Medicine +7, Perception +5, Religion +5
Gear Chain Shirt, Holy Symbol, Mace
Senses Passive Perception 15
Languages Common plus one other language
CR 2 (XP 450; PB +2)
Actions
Multiattack. The priest makes two attacks, using Mace
or Radiant Flame in any combination.
Mace. Melee Attack Roll: +5, reach 5 ft. Hit: 6 (1d6 +
3) Bludgeoning damage plus 5 (2d4) Radiant damage.
Radiant Flame. Ranged Attack Roll: +5, range 60 ft.
Hit: 11 (2d10) Radiant damage.
Spellcasting. The priest casts one of the following
spells, using Wisdom as the spellcasting ability (spell
save DC 13):
At Will: Light, Thaumaturgy
1/Day: Spirit Guardians
Bonus Actions
Divine Aid (3/Day). The priest casts Bless, Dispel
Magic, Healing Word, or Lesser Restoration, using the
same spellcasting ability as Spellcasting.</t>
  </si>
  <si>
    <t>Pseudodragon</t>
  </si>
  <si>
    <t>10 (3d4 + 3)</t>
  </si>
  <si>
    <t>Speed 15 ft., Fly 60 ft.</t>
  </si>
  <si>
    <t>Understands Common and Draconic but canâ€™t speak</t>
  </si>
  <si>
    <t>Pseudodragon
Tiny Dragon, Neutral Good
AC 14 		                    Initiative +2 (12)
HP 10 (3d4 + 3)
Speed 15 ft., Fly 60 ft.
MOD SAVE             MOD SAVE          MOD SAVE
Str 6 âˆ’2 âˆ’2           Dex 15 +2 +2         Con 13 +1 +1
Int 10 +0 +0          Wis 12 +1 +1         Cha 10 +0 +0
Skills Perception +5, Stealth +4
Senses Blindsight 10 ft., Darkvision 60 ft.;
Passive Perception 15
Languages Understands Common and Draconic but canâ€™t
speak
CR 1/4 (XP 50; PB +2)
Traits
Magic Resistance. The pseudodragon has Advan-
tage on saving throws against spells and other magi-
cal effects.
Actions
Multiattack. The pseudodragon makes two Bite attacks.
Bite. Melee Attack Roll: +4, reach 5 ft. Hit: 4 (1d4 + 2)
Piercing damage.
Sting. Constitution Saving Throw: DC 12, one creature
the pseudodragon can see within 5 feet. Failure: 5 (2d4)
Poison damage, and the target has the Poisoned condi-
tion for 1 hour. Failure by 5 or More: While Poisoned,
the target also has the Unconscious condition, which
ends early if the target takes damage or a creature
within 5 feet of it takes an action to wake it.</t>
  </si>
  <si>
    <t>Purple Worm</t>
  </si>
  <si>
    <t>247 (15d20 + 90)</t>
  </si>
  <si>
    <t>Speed 50 ft., Burrow 50 ft.</t>
  </si>
  <si>
    <t>Blindsight 30 ft., Tremorsense 60 ft.; Passive Perception 9</t>
  </si>
  <si>
    <t>Purple Worm
Gargantuan Monstrosity, Unaligned
AC 18		                     Initiative +3 (13)
HP 247 (15d20 + 90)
Speed 50 ft., Burrow 50 ft.
MOD SAVE             MOD SAVE          MOD SAVE
Str 28 +9 +9         Dex 7 âˆ’2 âˆ’2          Con 22 +6 +11
Int 1 âˆ’5 âˆ’5          Wis 8 âˆ’1 +4          Cha 4 âˆ’3 âˆ’3
Senses Blindsight 30 ft., Tremorsense 60 ft.;
Passive Perception 9
Languages None
CR 15 (XP 13,000; PB +5)
Traits
Tunneler. The worm can burrow through solid rock at
half its Burrow Speed and leaves a 10-foot-diameter
tunnel in its wake.
Actions
Multiattack. The worm makes one Bite attack and one
Tail Stinger attack.
Bite. Melee Attack Roll: +14, reach 10 ft. Hit: 22
(3d8 + 9) Piercing damage. If the target is a Large or
smaller creature, it has the Grappled condition (escape
DC 19), and it has the Restrained condition until the
grapple ends.
Tail Stinger. Melee Attack Roll: +14, reach 10 ft. Hit:
16 (2d6 + 9) Piercing damage plus 35 (10d6) Poi-
son damage.
Bonus Actions
Swallow. Strength Saving Throw: DC 19, one Large or
smaller creature Grappled by the worm (it can have up
to three creatures swallowed at a time). Failure: The tar-
get is swallowed by the worm, and the Grappled con-
dition ends. A swallowed creature has the Blinded and
Restrained conditions, has Total Cover against attacks
and other effects outside the worm, and takes 17 (5d6)
Acid damage at the start of each of the wormâ€™s turns.
If the worm takes 30 damage or more on a single turn
from a creature inside it, the worm must succeed on a
DC 21 Constitution saving throw at the end of that turn
or regurgitate all swallowed creatures, each of which
falls in a space within 5 feet of the worm and has the
Prone condition. If the worm dies, any swallowed crea-
ture no longer has the Restrained condition and can
escape from the corpse using 20 feet of movement,
exiting Prone.</t>
  </si>
  <si>
    <t>Quasit</t>
  </si>
  <si>
    <t>25 (10d4)</t>
  </si>
  <si>
    <t>Quasit
Tiny Fiend (Demon), Chaotic Evil
AC 13 		                   Initiative +3 (13)
HP 25 (10d4)
Speed 40 ft.
MOD SAVE              MOD SAVE              MOD SAVE
Str 5 âˆ’3 âˆ’3           Dex 17 +3 +3         Con 10 +0 +0
Int 7 âˆ’2 âˆ’2           Wis 10 +0 +0         Cha 10 +0 +0
Skills Stealth +5
Resistances Cold, Fire, Lightning
Immunities Poison; Poisoned
Senses Darkvision 120 ft.; Passive Perception 10
Languages Abyssal, Common
CR 1 (XP 200; PB +2)
Traits
Magic Resistance. The quasit has Advantage on saving
throws against spells and other magical effects.
Actions
Rend. Melee Attack Roll: +5, reach 5 ft. Hit: 5 (1d4 + 3)
Slashing damage, and the target has the Poisoned con-
dition until the start of the quasitâ€™s next turn.
Invisibility. The quasit casts Invisibility on itself, requir-
ing no spell components and using Charisma as the
spellcasting ability.
Scare (1/Day). Wisdom Saving Throw: DC 10, one
creature within 20 feet. Failure: The target has the
Frightened condition. At the end of each of its turns, the
target repeats the save, ending the effect on itself on a
success. After 1 minute, it succeeds automatically.
Shape-Shift. The quasit shape-shifts to resemble a bat
(Speed 10 ft., Fly 40 ft.), a centipede (40 ft., Climb 40
ft.), or a toad (40 ft., Swim 40 ft.), or it returns to its
true form. Its game statistics are the same in each form,
except for its Speed. Any equipment it is wearing or
carrying isnâ€™t transformed.</t>
  </si>
  <si>
    <t>Rakshasa</t>
  </si>
  <si>
    <t>221 (26d8 + 104)</t>
  </si>
  <si>
    <t>Deception +10, Insight +8, Perception +8</t>
  </si>
  <si>
    <t>Piercing damage from weapons wielded by creatures under the effect of a Bless spell</t>
  </si>
  <si>
    <t>Charmed, Frightened</t>
  </si>
  <si>
    <t>Truesight 60 ft.; Passive Perception 18</t>
  </si>
  <si>
    <t>Rakshasa
Medium Fiend, Lawful Evil
AC 17		                      Initiative +8 (18)
HP 221 (26d8 + 104)
Speed 40 ft.
MOD SAVE              MOD SAVE              MOD SAVE
Str 14 +2 +2          Dex 17 +3 +3         Con 18 +4 +4
Int 13 +1 +1          Wis 16 +3 +3         Cha 20 +5 +5
Skills Deception +10, Insight +8, Perception +8
Vulnerabilities Piercing damage from weapons wielded by
creatures under the effect of a Bless spell
Immunities Charmed, Frightened
Senses Truesight 60 ft.; Passive Perception 18
Languages Common, Infernal
CR 13 (XP 10,000; PB +5)
Traits
Greater Magic Resistance. The rakshasa automatically
succeeds on saving throws against spells and other
magical effects, and the attack rolls of spells automat-
ically miss it. Without the rakshasaâ€™s permission, no
spell can observe the rakshasa remotely or detect its
thoughts, creature type, or alignment.
Fiendish Restoration. If the rakshasa dies outside the
Nine Hells, its body turns to ichor, and it gains a new
body instantly, reviving with all its Hit Points some-
where in the Nine Hells.
Actions
Multiattack. The rakshasa makes three Cursed
Touch attacks.
Cursed Touch. Melee Attack Roll: +10, reach 5 ft. Hit:
12 (2d6 + 5) Slashing damage plus 19 (3d12) Necrotic
damage. If the target is a creature, it is cursed. While
cursed, the target gains no benefit from finishing a
Short or Long Rest.
Baleful Command (Recharge 5â€“6). Wisdom Saving
Throw: DC 18, each enemy in a 30-foot Emanation orig-
inating from the rakshasa. Failure: 28 (8d6) Psychic dam-
age, and the target has the Frightened and Incapacitated
conditions until the start of the rakshasaâ€™s next turn.
Spellcasting. The rakshasa casts one of the following
spells, requiring no Material components and using
Charisma as the spellcasting ability (spell save DC 18):
At Will: Detect Magic, Detect Thoughts, Disguise Self,
Mage Hand, Minor Illusion
1/Day Each: Fly, Invisibility, Major Image, Plane Shift</t>
  </si>
  <si>
    <t>Red Dragon Wyrmling</t>
  </si>
  <si>
    <t>Red Dragons</t>
  </si>
  <si>
    <t>Red Dragon Wyrmling
Medium Dragon (Chromatic), Chaotic Evil
AC 17		                     Initiative +2 (12)
HP 75 (10d8 + 30)
Speed 30 ft., Climb 30 ft., Fly 60 ft.
MOD SAVE             MOD SAVE          MOD SAVE
Str 19 +4 +4         Dex 10 +0 +2          Con 17 +3 +3
Int 12 +1 +1         Wis 11 +0 +2          Cha 15 +2 +2
Skills Perception +4, Stealth +2
Immunities Fire
Senses Blindsight 10 ft., Darkvision 60 ft.;
Passive Perception 14
Languages Draconic
CR 4 (XP 1,100; PB +2)
Actions
Multiattack. The dragon makes two Rend attacks.
Rend. Melee Attack Roll: +6, reach 5 ft. Hit: 9 (1d10
+ 4) Slashing damage plus 3 (1d6) Fire damage.
Fire Breath (Recharge 5â€“6). Dexterity Saving Throw:
DC 13, each creature in a 15-foot Cone. Failure: 24
(7d6) Fire damage. Success: Half damage.</t>
  </si>
  <si>
    <t>Young Red Dragon</t>
  </si>
  <si>
    <t>Perception +8, Stealth +4</t>
  </si>
  <si>
    <t>Blindsight 30 ft., Darkvision 120 ft.; Passive Perception 18</t>
  </si>
  <si>
    <t>Young Red Dragon
Large Dragon (Chromatic), Chaotic Evil
AC 18		                     Initiative +4 (14)
HP 178 (17d10 + 85)
Speed 40 ft., Climb 40 ft., Fly 80 ft.
MOD SAVE             MOD SAVE          MOD SAVE
Str 23 +6 +6         Dex 10 +0 +4          Con 21 +5 +5
Int 14 +2 +2         Wis 11 +0 +4          Cha 19 +4 +4
Skills Perception +8, Stealth +4
Immunities Fire
Senses Blindsight 30 ft., Darkvision 120 ft.;
Passive Perception 18
Languages Common, Draconic
CR 10 (XP 5,900; PB +4)
Actions
Multiattack. The dragon makes three Rend attacks.
Rend. Melee Attack Roll: +10, reach 10 ft. Hit: 13 (2d6
+ 6) Slashing damage plus 3 (1d6) Fire damage.
Fire Breath (Recharge 5â€“6). Dexterity Saving Throw:
DC 17, each creature in a 30-foot Cone. Failure: 56
(16d6) Fire damage. Success: Half damage.</t>
  </si>
  <si>
    <t>Adult Red Dragon</t>
  </si>
  <si>
    <t>256 (19d12 + 133)</t>
  </si>
  <si>
    <t>Perception +13, Stealth +6</t>
  </si>
  <si>
    <t>Blindsight 60 ft., Darkvision 120 ft.; Passive Perception 23</t>
  </si>
  <si>
    <t>Adult Red Dragon
Huge Dragon (Chromatic), Chaotic Evil
AC 19                Initiative +12 (22)
HP 256 (19d12 + 133)
Speed 40 ft., Climb 40 ft., Fly 80 ft.
MOD SAVE             MOD SAVE          MOD SAVE
Str 27 +8 +8         Dex 10 +0 +6          Con 25 +7 +7
Int 16 +3 +3         Wis 13 +1 +7          Cha 23 +6 +6
Skills Perception +13, Stealth +6
Immunities Fire
Senses Blindsight 60 ft., Darkvision 120 ft.;
Passive Perception 23
Languages Common, Draconic
CR 17 (XP 18,000, or 20,000 in lair; PB +6)
Traits
Legendary Resistance (3/Day, or 4/Day in Lair). If
the dragon fails a saving throw, it can choose to suc-
ceed instead.
Actions
Multiattack. The dragon makes three Rend attacks. It
can replace one attack with a use of Spellcasting to cast
Scorching Ray.
Rend. Melee Attack Roll: +14, reach 10 ft. Hit: 13 (1d10
+ 8) Slashing damage plus 5 (2d4) Fire damage.
Fire Breath (Recharge 5â€“6). Dexterity Saving Throw:
DC 21, each creature in a 60-foot Cone. Failure: 59
(17d6) Fire damage. Success: Half damage.
Spellcasting. The dragon casts one of the following
spells, requiring no Material components and using
Charisma as the spellcasting ability (spell save DC 20,
+12 to hit with spell attacks):
At Will: Command (level 2 version), Detect Magic,
Scorching Ray
1/Day: Fireball
Legendary Actions
Legendary Action Uses: 3 (4 in Lair). Immediately after
another creatureâ€™s turn, the dragon can expend a use to
take one of the following actions. The dragon regains all
expended uses at the start of each of its turns.
Commanding Presence. The dragon uses Spellcasting
to cast Command (level 2 version). The dragon canâ€™t
take this action again until the start of its next turn.
Fiery Rays. The dragon uses Spellcasting to cast Scorch-
ing Ray. The dragon canâ€™t take this action again until the
start of its next turn.
Pounce. The dragon moves up to half its Speed, and it
makes one Rend attack.</t>
  </si>
  <si>
    <t>Ancient Red Dragon</t>
  </si>
  <si>
    <t>507 (26d20 + 234)</t>
  </si>
  <si>
    <t>Perception +16, Stealth +7</t>
  </si>
  <si>
    <t>Ancient Red Dragon
Gargantuan Dragon (Chromatic), Chaotic Evil
AC 22                Initiative +14 (24)
HP 507 (26d20 + 234)
Speed 40 ft., Climb 40 ft., Fly 80 ft.
MOD SAVE             MOD SAVE            MOD SAVE
Str 30 +10 +10 Dex 10 +0 +7                Con 29 +9 +9
Int 18 +4 +4 Wis 15 +2 +9                  Cha 27 +8 +8
Skills Perception +16, Stealth +7
Immunities Fire
Senses Blindsight 60 ft., Darkvision 120 ft.;
Passive Perception 26
Languages Common, Draconic
CR 24 (XP 62,000, or 75,000 in lair; PB +7)
Traits
Legendary Resistance (4/Day, or 5/Day in Lair). If
the dragon fails a saving throw, it can choose to suc-
ceed instead.
Actions
Multiattack. The dragon makes three Rend attacks. It
can replace one attack with a use of Spellcasting to cast
Scorching Ray (level 3 version).
Rend. Melee Attack Roll: +17, reach 15 ft. Hit: 19 (2d8
+ 10) Slashing damage plus 10 (3d6) Fire damage.
Fire Breath (Recharge 5â€“6). Dexterity Saving Throw:
DC 24, each creature in a 90-foot Cone. Failure: 91
(26d6) Fire damage. Success: Half damage.
Spellcasting. The dragon casts one of the following
spells, requiring no Material components and using
Charisma as the spellcasting ability (spell save DC 23,
+15 to hit with spell attacks):
At Will: Command (level 2 version), Detect Magic,
Scorching Ray (level 3 version)
1/Day Each: Fireball (level 6 version), Scrying
Legendary Actions
Legendary Action Uses: 3 (4 in Lair). Immediately after
another creatureâ€™s turn, the dragon can expend a use to
take one of the following actions. The dragon regains all
expended uses at the start of each of its turns.
Commanding Presence. The dragon uses Spellcasting
to cast Command (level 2 version). The dragon canâ€™t
take this action again until the start of its next turn.
Fiery Rays. The dragon uses Spellcasting to cast Scorch-
ing Ray (level 3 version). The dragon canâ€™t take this ac-
tion again until the start of its next turn.
Pounce. The dragon moves up to half its Speed, and it
makes one Rend attack.</t>
  </si>
  <si>
    <t>Remorhaz</t>
  </si>
  <si>
    <t>Speed 40 ft., Burrow 30 ft.</t>
  </si>
  <si>
    <t>Remorhaz
Huge Monstrosity, Unaligned
AC 17		                     Initiative +5 (15)
HP 195 (17d12 + 85)
Speed 40 ft., Burrow 30 ft.
MOD SAVE             MOD SAVE            MOD SAVE
Str 24 +7 +7         Dex 13 +1 +1          Con 21 +5 +5
Int 4 âˆ’3 âˆ’3          Wis 10 +0 +0          Cha 5 âˆ’3 âˆ’3
Immunities Cold, Fire
Senses Darkvision 60 ft., Tremorsense 60 ft.;
Passive Perception 10
Languages None
CR 11 (XP 7,200; PB +4)
Traits
Heat Aura. At the end of each of the remorhazâ€™s turns,
each creature in a 5-foot Emanation originating from
the remorhaz takes 16 (3d10) Fire damage.
Actions
Bite. Melee Attack Roll: +11, reach 10 ft. Hit: 18 (2d10
+ 7) Piercing damage plus 14 (4d6) Fire damage. If the
target is a Large or smaller creature, it has the Grappled
condition (escape DC 17), and it has the Restrained
condition until the grapple ends.
Bonus Actions
Swallow. Strength Saving Throw: DC 19, one Large or
smaller creature Grappled by the remorhaz (it can have
up to two creatures swallowed at a time). Failure: The
target is swallowed by the remorhaz, and the Grappled
condition ends. A swallowed creature has the Blinded
and Restrained conditions, it has Total Cover against
attacks and other effects outside the remorhaz, and it
takes 10 (3d6) Acid damage plus 10 (3d6) Fire damage
at the start of each of the remorhazâ€™s turns.
If the remorhaz takes 30 damage or more on a single
turn from a creature inside it, the remorhaz must suc-
ceed on a DC 15 Constitution saving throw at the end
of that turn or regurgitate all swallowed creatures, each
of which falls in a space within 5 feet of the remorhaz
and has the Prone condition. If the remorhaz dies, any
swallowed creature no longer has the Restrained condi-
tion and can escape from the corpse by using 15 feet of
movement, exiting Prone.</t>
  </si>
  <si>
    <t>Roc</t>
  </si>
  <si>
    <t>248 (16d20 + 80)</t>
  </si>
  <si>
    <t>Speed 20 ft., Fly 120 ft.</t>
  </si>
  <si>
    <t>Passive Perception 18</t>
  </si>
  <si>
    <t>Roc
Gargantuan Monstrosity, Unaligned
AC 15		                     Initiative +8 (18)
HP 248 (16d20 + 80)
Speed 20 ft., Fly 120 ft.
MOD SAVE               MOD SAVE         MOD SAVE
Str 28 +9 +9          Dex 10 +0 +4          Con 20 +5 +5
Int 3 âˆ’4 âˆ’4           Wis 10 +0 +4          Cha 9 âˆ’1 âˆ’1
Skills Perception +8
Senses Passive Perception 18
Languages None
CR 11 (XP 7,200; PB +4)
Actions
Multiattack. The roc makes two Beak attacks. It can
replace one attack with a Talons attack.
Beak. Melee Attack Roll: +13, reach 10 ft. Hit: 28 (3d12
+ 9) Piercing damage.
Talons. Melee Attack Roll: +13, reach 5 ft. Hit: 23 (4d6
+ 9) Slashing damage. If the target is a Huge or smaller
creature, it has the Grappled condition (escape DC 19)
from both talons, and it has the Restrained condition
until the grapple ends.
Bonus Actions
Swoop (Recharge 5â€“6). If the roc has a creature Grap-
pled, the roc flies up to half its Fly Speed without pro-
voking Opportunity Attacks and drops that creature.</t>
  </si>
  <si>
    <t>Roper</t>
  </si>
  <si>
    <t>Speed 10 ft., Climb 20 ft.</t>
  </si>
  <si>
    <t>Roper
Large Aberration, Neutral Evil
AC 20 		                   Initiative +5 (15)
HP 93 (11d10 + 33)
Speed 10 ft., Climb 20 ft.
MOD SAVE            MOD SAVE            MOD SAVE
Str 18 +4 +4         Dex 8 âˆ’1 âˆ’1         Con 17 +3 +3
Int 7 âˆ’2 âˆ’2          Wis 16 +3 +3        Cha 6 âˆ’2 âˆ’2
Skills Perception +6, Stealth +5
Senses Darkvision 60 ft.; Passive Perception 16
Languages None
CR 5 (XP 1,800; PB +3)
Traits
Spider Climb. The roper can climb difficult surfaces,
including along ceilings, without needing to make an
ability check.
Actions
Multiattack. The roper makes two Tentacle attacks,
uses Reel, and makes two Bite attacks.
Bite. Melee Attack Roll: +7, reach 5 ft. Hit: 17 (3d8 + 4)
Piercing damage.
Tentacle. Melee Attack Roll: +7, reach 60 ft. Hit: The
target has the Grappled condition (escape DC 14) from
one of six tentacles, and the target has the Poisoned
condition until the grapple ends.
The tentacle can be damaged, freeing a creature it has
Grappled when destroyed (AC 20, HP 10, Immunity to
Poison and Psychic damage). Damaging the tentacle
deals no damage to the roper, and a destroyed tentacle
regrows at the start of the roperâ€™s next turn.
Reel. The roper pulls each creature Grappled by it up
to 30 feet straight toward it.</t>
  </si>
  <si>
    <t>Rust Monster</t>
  </si>
  <si>
    <t>Rust Monster
Medium Monstrosity, Unaligned
AC 14 		                  Initiative +1 (11)
HP 33 (6d8 + 6)
Speed 40 ft.
MOD SAVE            MOD SAVE            MOD SAVE
Str 13 +1 +1         Dex 12 +1 +1        Con 13 +1 +1
Int 2 âˆ’4 âˆ’4          Wis 13 +1 +1        Cha 6 âˆ’2 âˆ’2
Senses Darkvision 60 ft.; Passive Perception 11
Languages None
CR 1/2 (XP 100; PB +2)
Traits
Iron Scent. The rust monster can pinpoint the location
of ferrous metal within 30 feet of itself.
Actions
Multiattack. The rust monster makes one Bite attack
and uses Antennae twice.
Bite. Melee Attack Roll: +3, reach 5 ft. Hit: 5 (1d8 + 1)
Piercing damage.
Antennae. The rust monster targets one nonmagical
metal objectâ€”armor or a weaponâ€”worn or carried
by a creature within 5 feet of itself. Dexterity Saving
Throw: DC 11, the creature with the object. Failure:
The object takes a âˆ’1 penalty to the AC it offers (ar-
mor) or to its attack rolls (weapon). Armor is destroyed
if the penalty reduces its AC to 10, and a weapon is
destroyed if its penalty reaches âˆ’5. The penalty can be
removed by casting the Mending spell on the armor
or weapon.
Destroy Metal. The rust monster touches a nonmagi-
cal metal object within 5 feet of itself that isnâ€™t being
worn or carried. The touch destroys a 1-foot Cube of
the object.
Reactions
Reflexive Antennae. Trigger: An attack roll hits the rust
monster. Response: The rust monster uses Antennae.</t>
  </si>
  <si>
    <t>Sahuagin Warrior</t>
  </si>
  <si>
    <t>Sahuagin</t>
  </si>
  <si>
    <t>Speed 30 ft., Swim 40 ft.</t>
  </si>
  <si>
    <t>Acid, Cold</t>
  </si>
  <si>
    <t>Sahuagin Warrior
Medium Fiend, Lawful Evil
AC 12		                   Initiative +0 (10)
HP 22 (4d8 + 4)
Speed 30 ft., Swim 40 ft.
MOD SAVE            MOD SAVE             MOD SAVE
Str 13 +1 +1         Dex 11 +0 +0        Con 12 +1 +1
Int 12 +1 +1         Wis 13 +1 +1        Cha 9 âˆ’1 âˆ’1
Skills Perception +5
Resistances Acid, Cold
Senses Darkvision 120 ft.; Passive Perception 15
Languages Sahuagin
CR 1/2 (XP 100; PB +2)
Traits
Blood Frenzy. The sahuagin has Advantage on at-
tack rolls against any creature that doesnâ€™t have all its
Hit Points.
Limited Amphibiousness. The sahuagin can breathe air
and water, but it must be submerged at least once every
4 hours to avoid suffocating outside water.
Shark Telepathy. The sahuagin can magically control
sharks within 120 feet of itself, using a special telepathy.
Actions
Multiattack. The sahuagin makes two Claw attacks.
Claw. Melee Attack Roll: +3, reach 5 ft. Hit: 4 (1d6 + 1)
Slashing damage.
Bonus Actions
Aquatic Charge. The sahuagin swims up to its Swim
Speed straight toward an enemy it can see.</t>
  </si>
  <si>
    <t>Salamander</t>
  </si>
  <si>
    <t>Salamander
Large Elemental, Neutral Evil
AC 15 		                   Initiative +2 (12)
HP 90 (12d10 + 24)
Speed 30 ft., Climb 30 ft.
MOD SAVE              MOD SAVE           MOD SAVE
Str 18 +4 +4         Dex 14 +2 +2          Con 15 +2 +2
Int 11 +0 +0         Wis 10 +0 +0          Cha 12 +1 +1
Vulnerabilities Cold
Immunities Fire
Senses Darkvision 60 ft.; Passive Perception 10
Languages Primordial (Ignan)
CR 5 (XP 1,800; PB +3)
Traits
Fire Aura. At the end of each of the salamanderâ€™s turns,
each creature of the salamanderâ€™s choice in a 5-foot
Emanation originating from the salamander takes 7
(2d6) Fire damage.
Actions
Multiattack. The salamander makes two Flame
Spear attacks. It can replace one attack with a use of
Constrict.
Flame Spear. Melee or Ranged Attack Roll: +7, reach 5
ft. or range 20/60 ft. Hit: 13 (2d8 + 4) Piercing damage
plus 7 (2d6) Fire damage. Hit or Miss: The spear magi-
cally returns to the salamanderâ€™s hand immediately after
a ranged attack.
Constrict. Strength Saving Throw: DC 15, one Large or
smaller creature the salamander can see within 10 feet.
Failure: 11 (2d6 + 4) Bludgeoning damage plus 7 (2d6)
Fire damage. The target has the Grappled condition (es-
cape DC 14), and it has the Restrained condition until
the grapple ends.</t>
  </si>
  <si>
    <t>Satyr</t>
  </si>
  <si>
    <t>31 (7d8)</t>
  </si>
  <si>
    <t>Perception +2, Performance +6, Stealth +5</t>
  </si>
  <si>
    <t>Satyr
Medium Fey, Chaotic Neutral
AC 13		                    Initiative +3 (13)
HP 31 (7d8)
Speed 40 ft.
MOD SAVE              MOD SAVE           MOD SAVE
Str 12 +1 +1         Dex 16 +3 +3          Con 11 +0 +0
Int 12 +1 +1         Wis 10 +0 +0          Cha 14 +2 +2
Skills Perception +2, Performance +6, Stealth +5
Senses Passive Perception 12
Languages Common, Elvish, Sylvan
CR 1/2 (XP 100; PB +2)
Traits
Magic Resistance. The satyr has Advantage on saving
throws against spells and other magical effects.
Actions
Hooves. Melee Attack Roll: +5, reach 5 ft. Hit: 5 (1d4
+ 3) Bludgeoning damage. If the target is a Medium or
smaller creature, the satyr pushes the target up to 10
feet straight away from itself.
Mockery. Wisdom Saving Throw: DC 12, one creature
the satyr can see within 90 feet. Failure: 5 (1d6 + 2)
Psychic damage.</t>
  </si>
  <si>
    <t>Scout</t>
  </si>
  <si>
    <t>16 (3d8 + 3)</t>
  </si>
  <si>
    <t>Nature +4, Perception +5, Stealth +6, Survival +5</t>
  </si>
  <si>
    <t>Leather Armor, Longbow, Shortsword</t>
  </si>
  <si>
    <t>Scout
Medium or Small Humanoid, Neutral
AC 13 		                   Initiative +2 (12)
HP 16 (3d8 + 3)
Speed 30 ft.
MOD SAVE            MOD SAVE            MOD SAVE
Str 11 +0 +0         Dex 14 +2 +2         Con 12 +1 +1
Int 11 +0 +0         Wis 13 +1 +1         Cha 11 +0 +0
Skills Nature +4, Perception +5, Stealth +6, Survival +5
Gear Leather Armor, Longbow, Shortsword
Senses Passive Perception 15
Languages Common plus one other language
CR 1/2 (XP 100; PB +2)
Actions
Multiattack. The scout makes two attacks, using Shorts-
word and Longbow in any combination.
Shortsword. Melee Attack Roll: +4, reach 5 ft. Hit: 5
(1d6 + 2) Piercing damage.
Longbow. Ranged Attack Roll: +4, range 150/600 ft.
Hit: 6 (1d8 + 2) Piercing damage.</t>
  </si>
  <si>
    <t>Sea Hag</t>
  </si>
  <si>
    <t>Common, Giant, Primordial (Aquan)</t>
  </si>
  <si>
    <t>Sea Hag
Medium Fey, Chaotic Evil
AC 14 		                  Initiative +1 (11)
HP 52 (7d8 + 21)
Speed 30 ft., Swim 40 ft.
MOD SAVE            MOD SAVE            MOD SAVE
Str 16 +3 +3         Dex 13 +1 +1         Con 16 +3 +3
Int 12 +1 +1         Wis 12 +1 +1         Cha 13 +1 +1
Senses Darkvision 60 ft.; Passive Perception 11
Languages Common, Giant, Primordial (Aquan)
CR 2 (XP 450; PB +2)
Traits
Amphibious. The hag can breathe air and water.
Coven Magic. While within 30 feet of at least two hag
allies, the hag can cast one of the following spells,
requiring no Material components, using the spellâ€™s
normal casting time, and using Intelligence as the spell-
casting ability (spell save DC 11): Augury, Find Familiar,
Identify, Locate Object, Scrying, or Unseen Servant.
The hag must finish a Long Rest before using this trait to
cast that spell again.
Vile Appearance. Wisdom Saving Throw: DC 11, any
Beast or Humanoid that starts its turn within 30 feet of
the hag and can see the hagâ€™s true form. Failure: The
target has the Frightened condition until the start of its
next turn. Success: The target is immune to this hagâ€™s
Vile Appearance for 24 hours.
Actions
Claw. Melee Attack Roll: +5, reach 5 ft. Hit: 10 (2d6
+ 3) Slashing damage.
Death Glare (Recharge 5â€“6). Wisdom Saving Throw:
DC 11, one Frightened creature the hag can see within
30 feet. Failure: If the target has 20 Hit Points or fewer,
it drops to 0 Hit Points. Otherwise, the target takes 13
(3d8) Psychic damage.
Illusory Appearance. The hag casts Disguise Self, using
Constitution as the spellcasting ability (spell save DC
13). The spellâ€™s duration is 24 hours.</t>
  </si>
  <si>
    <t>Shadow</t>
  </si>
  <si>
    <t>27 (5d8 + 5)</t>
  </si>
  <si>
    <t>Acid, Cold, Fire, Lightning, Thunder</t>
  </si>
  <si>
    <t>Necrotic, Poison; Exhaustion, Frightened, Grappled, Paralyzed, Petrified, Poisoned, Prone, Restrained, Unconscious</t>
  </si>
  <si>
    <t>Shadow
Medium Undead, Chaotic Evil
AC 12		         Initiative +2 (12)
HP 27 (5d8 + 5)
Speed 40 ft.
MOD SAVE            MOD SAVE             MOD SAVE
Str 6 âˆ’2 âˆ’2          Dex 14 +2 +2        Con 13 +1 +1
Int 6 âˆ’2 âˆ’2          Wis 10 +0 +0        Cha 8 âˆ’1 âˆ’1
Skills Stealth +6
Vulnerabilities Radiant
Resistances Acid, Cold, Fire, Lightning, Thunder
Immunities Necrotic, Poison; Exhaustion, Frightened,
Grappled, Paralyzed, Petrified, Poisoned, Prone,
Restrained, Unconscious
Senses Darkvision 60 ft.; Passive Perception 10
Languages None
CR 1/2 (XP 100; PB +2)
Traits
Amorphous. The shadow can move through a space
as narrow as 1 inch without expending extra move-
ment to do so.
Sunlight Weakness. While in sunlight, the shadow has
Disadvantage on D20 Tests.
Actions
Draining Swipe. Melee Attack Roll: +4, reach 5 ft. Hit:
5 (1d6 + 2) Necrotic damage, and the targetâ€™s Strength
score decreases by 1d4. The target dies if this reduces
that score to 0. If a Humanoid is slain by this attack, a
Shadow rises from the corpse 1d4 hours later.
Bonus Actions
Shadow Stealth. While in Dim Light or Darkness, the
shadow takes the Hide action.</t>
  </si>
  <si>
    <t>Shambling Mound</t>
  </si>
  <si>
    <t>Speed 30 ft., Swim 20 ft.</t>
  </si>
  <si>
    <t>Lightning; Deafened, Exhaustion</t>
  </si>
  <si>
    <t>Shambling Mound
Large Plant, Unaligned
AC 15 		                  Initiative âˆ’1 (9)
HP 110 (13d10 + 39)
Speed 30 ft., Swim 20 ft.
MOD SAVE            MOD SAVE            MOD SAVE
Str 18 +4 +4         Dex 8 âˆ’1 âˆ’1         Con 16 +3 +3
Int 5 âˆ’3 âˆ’3          Wis 10 +0 +0        Cha 5 âˆ’3 âˆ’3
Skills Stealth +3
Resistances Cold, Fire
Immunities Lightning; Deafened, Exhaustion
Senses Blindsight 60 ft.; Passive Perception 10
Languages None
CR 5 (XP 1,800; PB +3)
Traits
Lightning Absorption. Whenever the shambling mound
is subjected to Lightning damage, it regains a number of
Hit Points equal to the Lightning damage dealt.
Actions
Multiattack. The shambling mound makes three
Charged Tendril attacks. It can replace one attack with
a use of Engulf.
Charged Tendril. Melee Attack Roll: +7, reach 10 ft.
Hit: 7 (1d6 + 4) Bludgeoning damage plus 5 (2d4)
Lightning damage. If the target is a Medium or smaller
creature, the shambling mound pulls the target 5 feet
straight toward itself.
Engulf. Strength Saving Throw: DC 15, one Medium
or smaller creature within 5 feet. Failure: The target is
pulled into the shambling moundâ€™s space and has the
Grappled condition (escape DC 14). Until the grapple
ends, the target has the Blinded and Restrained con-
ditions, and it takes 10 (3d6) Lightning damage at the
start of each of its turns. When the shambling mound
moves, the Grappled target moves with it, costing it no
extra movement. The shambling mound can have only
one creature Grappled by this action at a time.</t>
  </si>
  <si>
    <t>Shield Guardian</t>
  </si>
  <si>
    <t>Poison; Charmed, Exhaustion, Frightened, Paralyzed, Petrified, Poisoned</t>
  </si>
  <si>
    <t>Blindsight 10 ft., Darkvision 60 ft.; Passive Perception 10</t>
  </si>
  <si>
    <t>Understands commands given in any language but canâ€™t speak</t>
  </si>
  <si>
    <t>Shield Guardian
Large Construct, Unaligned
AC 17 		                   Initiative âˆ’1 (9)
HP 142 (15d10 + 60)
Speed 30 ft.
MOD SAVE            MOD SAVE            MOD SAVE
Str 18 +4 +4         Dex 8 âˆ’1 âˆ’1          Con 18 +4 +4
Int 7 âˆ’2 âˆ’2          Wis 10 +0 +0         Cha 3 âˆ’4 âˆ’4
Immunities Poison; Charmed, Exhaustion, Frightened,
Paralyzed, Petrified, Poisoned
Senses Blindsight 10 ft., Darkvision 60 ft.;
Passive Perception 10
Languages Understands commands given in any language
but canâ€™t speak
CR 7 (XP 2,900; PB +3)
Traits
Bound. The guardian is magically bound to an amulet.
While the guardian and its amulet are on the same
plane of existence, the amuletâ€™s wearer can telepathi-
cally call the guardian to travel to it, and the guardian
knows the distance and direction to the amulet. If the
guardian is within 60 feet of the amuletâ€™s wearer, half of
any damage the wearer takes (round up) is transferred
to the guardian.
Regeneration. The guardian regains 10 Hit Points at the
start of each of its turns if it has at least 1 Hit Point.
Spell Storing. A spellcaster who wears the guardianâ€™s
amulet can cause the guardian to store one spell of
level 4 or lower. To do so, the wearer must cast the
spell on the guardian while within 5 feet of it. The
spell has no effect but is stored within the guardian.
Any previously stored spell is lost when a new spell is
stored. The guardian can cast the spell stored with any
parameters set by the original caster, requiring no spell
components and using the casterâ€™s spellcasting ability.
The stored spell is then lost.
Actions
Multiattack. The guardian makes two Fist attacks.
Fist. Melee Attack Roll: +7, reach 10 ft. Hit: 11 (2d6
+ 4) Bludgeoning damage plus 7 (2d6) Force damage.
Reactions
Protection. Trigger: An attack roll hits the wearer of the
guardianâ€™s amulet while the wearer is within 5 feet of
the guardian. Response: The wearer gains a +5 bonus
to AC, including against the triggering attack and pos-
sibly causing it to miss, until the start of the guardianâ€™s
next turn.</t>
  </si>
  <si>
    <t>Silver Dragon Wyrmling</t>
  </si>
  <si>
    <t>Silver Dragons</t>
  </si>
  <si>
    <t>45 (6d8 + 18)</t>
  </si>
  <si>
    <t>Silver Dragon Wyrmling
Medium Dragon (Metallic), Lawful Good
AC 17		                     Initiative +2 (12)
HP 45 (6d8 + 18)
Speed 30 ft., Fly 60 ft.
MOD SAVE             MOD SAVE            MOD SAVE
Str 19 +4 +4          Dex 10 +0 +2         Con 17 +3 +3
Int 12 +1 +1          Wis 11 +0 +2         Cha 15 +2 +2
Skills Perception +4, Stealth +2
Immunities Cold
Senses Blindsight 10 ft., Darkvision 60 ft.;
Passive Perception 14
Languages Draconic
CR 2 (450 XP; PB +2)
Actions
Multiattack. The dragon makes two Rend attacks.
Rend. Melee Attack Roll: +6, reach 5 ft. Hit: 9 (1d10
+ 4) Piercing damage.
Cold Breath (Recharge 5â€“6). Constitution Saving
Throw: DC 13, each creature in a 15-foot Cone. Failure:
18 (4d8) Cold damage. Success: Half damage.
Paralyzing Breath. Constitution Saving Throw: DC 13,
each creature in a 15-foot Cone. First Failure: The target
has the Incapacitated condition until the end of its next
turn, when it repeats the save. Second Failure: The tar-
get has the Paralyzed condition, and it repeats the save
at the end of each of its turns, ending the effect on itself
on a success. After 1 minute, it succeeds automatically.</t>
  </si>
  <si>
    <t>Young Silver Dragon</t>
  </si>
  <si>
    <t>168 (16d10 + 80)</t>
  </si>
  <si>
    <t>History +6, Perception +8, Stealth +4</t>
  </si>
  <si>
    <t>Young Silver Dragon
Large Dragon (Metallic), Lawful Good
AC 18		                     Initiative +4 (14)
HP 168 (16d10 + 80)
Speed 40 ft., Fly 80 ft.
MOD SAVE             MOD SAVE            MOD SAVE
Str 23 +6 +6          Dex 10 +0 +4         Con 21 +5 +5
Int 14 +2 +2          Wis 11 +0 +4         Cha 19 +4 +4
Skills History +6, Perception +8, Stealth +4
Immunities Cold
Senses Blindsight 30 ft., Darkvision 120 ft.;
Passive Perception 18
Languages Common, Draconic
CR 9 (XP 5,000; PB +4)
Actions
Multiattack. The dragon makes three Rend attacks. It
can replace one attack with a use of Paralyzing Breath.
Rend. Melee Attack Roll: +10, reach 10 ft. Hit: 15 (2d8
+ 6) Slashing damage.
Cold Breath (Recharge 5â€“6). Constitution Saving
Throw: DC 17, each creature in a 30-foot Cone. Failure:
49 (11d8) Cold damage. Success: Half damage.
Paralyzing Breath. Constitution Saving Throw: DC 17,
each creature in a 30-foot Cone. First Failure: The target
has the Incapacitated condition until the end of its next
turn, when it repeats the save. Second Failure: The tar-
get has the Paralyzed condition, and it repeats the save
at the end of each of its turns, ending the effect on itself
on a success. After 1 minute, it succeeds automatically.</t>
  </si>
  <si>
    <t>Adult Silver Dragon</t>
  </si>
  <si>
    <t>216 (16d12 + 112)</t>
  </si>
  <si>
    <t>History +8, Perception +11, Stealth +5</t>
  </si>
  <si>
    <t>Adult Silver Dragon
Huge Dragon (Metallic), Lawful Good
AC 19		                  Initiative +10 (20)
HP 216 (16d12 + 112)
Speed 40 ft., Fly 80 ft.
MOD SAVE            MOD SAVE             MOD SAVE
Str 27 +8 +8         Dex 10 +0 +5        Con 25 +7 +7
Int 16 +3 +3         Wis 13 +1 +6        Cha 22 +6 +6
Skills History +8, Perception +11, Stealth +5
Immunities Cold
Senses Blindsight 60 ft., Darkvision 120 ft.;
Passive Perception 21
Languages Common, Draconic
CR 16 (XP 15,000, or 18,000 in lair; PB +5)
Traits
Legendary Resistance (3/Day, or 4/Day in Lair). If
the dragon fails a saving throw, it can choose to suc-
ceed instead.
Actions
Multiattack. The dragon makes three Rend attacks.
It can replace one attack with a use of (A) Paralyzing
Breath or (B) Spellcasting to cast Ice Knife.
Rend. Melee Attack Roll: +13, reach 10 ft. Hit: 17 (2d8
+ 8) Slashing damage plus 4 (1d8) Cold damage.
Cold Breath (Recharge 5â€“6). Constitution Saving
Throw: DC 20, each creature in a 60-foot Cone. Fail-
ure: 54 (12d8) Cold damage. Success: Half damage.
Paralyzing Breath. Constitution Saving Throw: DC 20,
each creature in a 60-foot Cone. First Failure: The target
has the Incapacitated condition until the end of its next
turn, when it repeats the save. Second Failure: The tar-
get has the Paralyzed condition, and it repeats the save
at the end of each of its turns, ending the effect on itself
on a success. After 1 minute, it succeeds automatically.
Spellcasting. The dragon casts one of the following
spells, requiring no Material components and using
Charisma as the spellcasting ability (spell save DC 19,
+11 to hit with spell attacks):
At Will: Detect Magic, Hold Monster, Ice Knife,
Shapechange (Beast or Humanoid form only, no
Temporary Hit Points gained from the spell, and no
Concentration or Temporary Hit Points required to
maintain the spell)
1/Day Each: Ice Storm (level 5 version), Zone of Truth
Legendary Actions
Legendary Action Uses: 3 (4 in Lair). Immediately after
another creatureâ€™s turn, the dragon can expend a use to
take one of the following actions. The dragon regains all
expended uses at the start of each of its turns.
Chill. The dragon uses Spellcasting to cast Hold Mon-
ster. The dragon canâ€™t take this action again until the
start of its next turn.
Cold Gale. Dexterity Saving Throw: DC 19, each crea-
ture in a 60-foot-long, 10-foot-wide Line. Failure: 14
(4d6) Cold damage, and the target is pushed up to 30
feet straight away from the dragon. Success: Half dam-
age only. Failure or Success: The dragon canâ€™t take this
action again until the start of its next turn.
Pounce. The dragon moves up to half its Speed, and it
makes one Rend attack.</t>
  </si>
  <si>
    <t>Ancient Silver Dragon</t>
  </si>
  <si>
    <t>468 (24d20 + 216)</t>
  </si>
  <si>
    <t>History +11, Perception +16, Stealth +7</t>
  </si>
  <si>
    <t>Ancient Silver Dragon
Gargantuan Dragon (Metallic), Lawful Good
AC 22                 Initiative +14 (24)
HP 468 (24d20 + 216)
Speed 40 ft., Fly 80 ft.
MOD SAVE             MOD SAVE            MOD SAVE
Str 30 +10 +10 Dex 10 +0 +7                 Con 29 +9 +9
Int 18 +4 +4 Wis 15 +2 +9                   Cha 26 +8 +8
Skills History +11, Perception +16, Stealth +7
Immunities Cold
Senses Blindsight 60 ft., Darkvision 120 ft.;
Passive Perception 26
Languages Common, Draconic
CR 23 (XP 50,000, or 62,000 in lair; PB +7)
Traits
Legendary Resistance (4/Day, or 5/Day in Lair). If
the dragon fails a saving throw, it can choose to suc-
ceed instead.
Actions
Multiattack. The dragon makes three Rend attacks.
It can replace one attack with a use of (A) Paralyz-
ing Breath or (B) Spellcasting to cast Ice Knife (level
2 version).
Rend. Melee Attack Roll: +17, reach 15 ft. Hit: 19 (2d8
+ 10) Slashing damage plus 9 (2d8) Cold damage.
Cold Breath (Recharge 5â€“6). Constitution Saving
Throw: DC 24, each creature in a 90-foot Cone. Fail-
ure: 67 (15d8) Cold damage. Success: Half damage.
Paralyzing Breath. Constitution Saving Throw: DC 24,
each creature in a 90-foot Cone. First Failure: The target
has the Incapacitated condition until the end of its next
turn, when it repeats the save. Second Failure: The tar-
get has the Paralyzed condition, and it repeats the save
at the end of each of its turns, ending the effect on itself
on a success. After 1 minute, it succeeds automatically.
Spellcasting. The dragon casts one of the following
spells, requiring no Material components and using
Charisma as the spellcasting ability (spell save DC 23,
+15 to hit with spell attacks):
At Will: Detect Magic, Hold Monster, Ice Knife (level 2
version), Shapechange (Beast or Humanoid form only,
no Temporary Hit Points gained from the spell, and
no Concentration or Temporary Hit Points required to
maintain the spell)
1/Day Each: Control Weather, Ice Storm (level 7 ver-
sion), Teleport, Zone of Truth
Legendary Actions
Legendary Action Uses: 3 (4 in Lair). Immediately after
another creatureâ€™s turn, the dragon can expend a use to
take one of the following actions. The dragon regains all
expended uses at the start of each of its turns.
Chill. The dragon uses Spellcasting to cast Hold Mon-
ster. The dragon canâ€™t take this action again until the
start of its next turn.
Cold Gale. Dexterity Saving Throw: DC 23, each crea-
ture in a 60-foot-long, 10-foot-wide Line. Failure: 14
(4d6) Cold damage, and the target is pushed up to 30
feet straight away from the dragon. Success: Half dam-
age only. Failure or Success: The dragon canâ€™t take this
action again until the start of its next turn.
Pounce. The dragon moves up to half its Speed, and it
makes one Rend attack.</t>
  </si>
  <si>
    <t>Skeleton</t>
  </si>
  <si>
    <t>Skeletons</t>
  </si>
  <si>
    <t>13 (2d8 + 4)</t>
  </si>
  <si>
    <t>Bludgeoning</t>
  </si>
  <si>
    <t>Shortbow, Shortsword</t>
  </si>
  <si>
    <t>Skeleton
Medium Undead, Lawful Evil
AC 14 		                   Initiative +3 (13)
HP 13 (2d8 + 4)
Speed 30 ft.
MOD SAVE            MOD SAVE             MOD SAVE
Str 10 +0 +0         Dex 16 +3 +3         Con 15 +2 +2
Int 6 âˆ’2 âˆ’2          Wis 8 âˆ’1 âˆ’1          Cha 5 âˆ’3 âˆ’3
Vulnerabilities Bludgeoning
Immunities Poison; Exhaustion, Poisoned
Gear Shortbow, Shortsword
Senses Darkvision 60 ft.; Passive Perception 9
Languages Understands Common plus one other language
but canâ€™t speak
CR 1/4 (XP 50; PB +2)
Actions
Shortsword. Melee Attack Roll: +5, reach 5 ft. Hit: 6
(1d6 + 3) Piercing damage.
Shortbow. Ranged Attack Roll: +5, range 80/320 ft. Hit:
6 (1d6 + 3) Piercing damage.</t>
  </si>
  <si>
    <t>Warhorse Skeleton</t>
  </si>
  <si>
    <t>22 (3d10 + 6)</t>
  </si>
  <si>
    <t>Speed 60 ft.</t>
  </si>
  <si>
    <t>Warhorse Skeleton
Large Undead, Lawful Evil
AC 13		                     Initiative +1 (11)
HP 22 (3d10 + 6)
Speed 60 ft.
MOD SAVE             MOD SAVE          MOD SAVE
Str 18 +4 +4         Dex 12 +1 +1          Con 15 +2 +2
Int 2 âˆ’4 âˆ’4          Wis 8 âˆ’1 âˆ’1           Cha 5 âˆ’3 âˆ’3
Vulnerabilities Bludgeoning
Immunities Poison; Exhaustion, Poisoned
Senses Darkvision 60 ft.; Passive Perception 9
Languages None
CR 1/2 (XP 100; PB +2)
Actions
Hooves. Melee Attack Roll: +6, reach 5 ft. Hit: 7 (1d6
+ 4) Bludgeoning damage. If the target is a Large or
smaller creature and the skeleton moved 20+ feet
straight toward it immediately before the hit, the target
has the Prone condition.</t>
  </si>
  <si>
    <t>Minotaur Skeleton</t>
  </si>
  <si>
    <t>Understands Abyssal but canâ€™t speak</t>
  </si>
  <si>
    <t>Minotaur Skeleton
Large Undead, Lawful Evil
AC 12		                     Initiative +0 (10)
HP 45 (6d10 + 12)
Speed 40 ft.
MOD SAVE             MOD SAVE          MOD SAVE
Str 18 +4 +4         Dex 11 +0 +0          Con 15 +2 +2
Int 6 âˆ’2 âˆ’2          Wis 8 âˆ’1 âˆ’1           Cha 5 âˆ’3 âˆ’3
Vulnerabilities Bludgeoning
Immunities Poison; Exhaustion, Poisoned
Senses Darkvision 60 ft.; Passive Perception 9
Languages Understands Abyssal but canâ€™t speak
CR 2 (XP 450; PB +2)
Actions
Gore. Melee Attack Roll: +6, reach 5 ft. Hit: 11 (2d6
+ 4) Piercing damage. If the target is a Large or smaller
creature and the skeleton moved 20+ feet straight
toward it immediately before the hit, the target takes
an extra 9 (2d8) Piercing damage and has the Prone
condition.
Slam. Melee Attack Roll: +6, reach 5 ft. Hit: 15 (2d10
+ 4) Bludgeoning damage.</t>
  </si>
  <si>
    <t>Solar</t>
  </si>
  <si>
    <t>297 (22d10 + 176)</t>
  </si>
  <si>
    <t>Speed 50 ft., Fly 150 ft. (hover)</t>
  </si>
  <si>
    <t>Perception +14</t>
  </si>
  <si>
    <t>Poison, Radiant; Charmed, Exhaustion, Frightened, Poisoned</t>
  </si>
  <si>
    <t>Truesight 120 ft.; Passive Perception 24</t>
  </si>
  <si>
    <t>Solar
Large Celestial (Angel), Lawful Good
AC 21		                      Initiative +20 (30)
HP 297 (22d10 + 176)
Speed 50 ft., Fly 150 ft. (hover)
MOD SAVE              MOD SAVE           MOD SAVE
Str 26 +8 +8          Dex 22 +6 +6         Con 26 +8 +8
Int 25 +7 +7          Wis 25 +7 +7         Cha 30 +10 +10
Skills Perception +14
Immunities Poison, Radiant; Charmed, Exhaustion,
Frightened, Poisoned
Senses Truesight 120 ft.; Passive Perception 24
Languages All; telepathy 120 ft.
CR 21 (XP 33,000; PB +7)
Traits
Divine Awareness. The solar knows if it hears a lie.
Exalted Restoration. If the solar dies outside Mount
Celestia, its body disappears, and it gains a new body
instantly, reviving with all its Hit Points somewhere in
Mount Celestia.
Legendary Resistance (4/Day). If the solar fails a saving
throw, it can choose to succeed instead.
Magic Resistance. The solar has Advantage on saving
throws against spells and other magical effects.
Actions
Multiattack. The solar makes two Flying Sword attacks.
It can replace one attack with a use of Slaying Bow.
Flying Sword. Melee or Ranged Attack Roll: +15, reach
10 ft. or range 120 ft. Hit: 22 (4d6 + 8) Slashing damage
plus 36 (8d8) Radiant damage. Hit or Miss: The sword
magically returns to the solarâ€™s hand or hovers within 5
feet of the solar immediately after a ranged attack.
Slaying Bow. Dexterity Saving Throw: DC 21, one crea-
ture the solar can see within 600 feet. Failure: If the
creature has 100 Hit Points or fewer, it dies. It other-
wise takes 24 (4d8 + 6) Piercing damage plus 36 (8d8)
Radiant damage.
Spellcasting. The solar casts one of the following spells,
requiring no Material components and using Charisma
as the spellcasting ability (spell save DC 25):
At Will: Detect Evil and Good
1/Day Each: Commune, Control Weather, Dispel Evil
and Good, Resurrection
Bonus Actions
Divine Aid (3/Day). The solar casts Cure Wounds (level
2 version), Lesser Restoration, or Remove Curse, using
the same spellcasting ability as Spellcasting.
Legendary Actions
Legendary Action Uses: 3. Immediately after another
creatureâ€™s turn, the solar can expend a use to take one of
the following actions. The solar regains all expended uses
at the start of each of its turns.
Blinding Gaze. Constitution Saving Throw: DC 25, one
creature the solar can see within 120 feet. Failure: The
target has the Blinded condition for 1 minute. Failure or
Success: The solar canâ€™t take this action again until the
start of its next turn.
Radiant Teleport. The solar teleports up to 60 feet to an
unoccupied space it can see. Dexterity Saving Throw:
DC 25, each creature in a 10-foot Emanation originat-
ing from the solar at its destination space. Failure: 11
(2d10) Radiant damage. Success: Half damage.</t>
  </si>
  <si>
    <t>Specter</t>
  </si>
  <si>
    <t>Speed 30 ft., Fly 50 ft. (hover)</t>
  </si>
  <si>
    <t>Necrotic, Poison; Charmed, Exhaustion, Grappled, Paralyzed, Petrified, Poisoned, Prone, Restrained, Unconscious</t>
  </si>
  <si>
    <t>Specter
Medium Undead, Chaotic Evil
AC 12		                      Initiative +2 (12)
HP 22 (5d8)
Speed 30 ft., Fly 50 ft. (hover)
MOD SAVE              MOD SAVE          MOD SAVE
Str 1 âˆ’5 âˆ’5           Dex 14 +2 +2          Con 11 +0 +0
Int 10 +0 +0          Wis 10 +0 +0          Cha 11 +0 +0
Resistances Acid, Bludgeoning, Cold, Fire, Lightning,
Piercing, Slashing, Thunder
Immunities Necrotic, Poison; Charmed, Exhaustion,
Grappled, Paralyzed, Petrified, Poisoned, Prone,
Restrained, Unconscious
Senses Darkvision 60 ft.; Passive Perception 10
Languages Understands Common plus one other language
but canâ€™t speak
CR 1 (XP 200; PB +2)
Traits
Incorporeal Movement. The specter can move through
other creatures and objects as if they were Difficult
Terrain. It takes 5 (1d10) Force damage if it ends its turn
inside an object.
Sunlight Sensitivity. While in sunlight, the specter has
Disadvantage on ability checks and attack rolls.
Actions
Life Drain. Melee Attack Roll: +4, reach 5 ft. Hit: 7
(2d6) Necrotic damage. If the target is a creature, its Hit
Point maximum decreases by an amount equal to the
damage taken.</t>
  </si>
  <si>
    <t>Sphinx of Wonder</t>
  </si>
  <si>
    <t>Sphinxes</t>
  </si>
  <si>
    <t>24 (7d4 + 7)</t>
  </si>
  <si>
    <t>Arcana +4, Religion +4, Stealth +5</t>
  </si>
  <si>
    <t>Necrotic, Psychic, Radiant</t>
  </si>
  <si>
    <t>Sphinx of Wonder
Tiny Celestial, Lawful Good
AC 13 		                   Initiative +3 (13)
HP 24 (7d4 + 7)
Speed 20 ft., Fly 40 ft.
MOD SAVE            MOD SAVE            MOD SAVE
Str 6 âˆ’2 âˆ’2           Dex 17 +3 +3        Con 13 +1 +1
Int 15 +2 +2          Wis 12 +1 +1        Cha 11 +0 +0
Skills Arcana +4, Religion +4, Stealth +5
Resistances Necrotic, Psychic, Radiant
Senses Darkvision 60 ft.; Passive Perception 11
Languages Celestial, Common
CR 1 (XP 200; PB +2)
Traits
Magic Resistance. The sphinx has Advantage on saving
throws against spells and other magical effects.
Actions
Rend. Melee Attack Roll: +5, reach 5 ft. Hit: 5 (1d4 + 3)
Slashing damage plus 7 (2d6) Radiant damage.
Reactions
Burst of Ingenuity (2/Day). Trigger: The sphinx or an-
other creature within 30 feet makes an ability check or
a saving throw. Response: The sphinx adds 2 to the roll.</t>
  </si>
  <si>
    <t>Sphinx of Lore</t>
  </si>
  <si>
    <t>170 (20d10 + 60)</t>
  </si>
  <si>
    <t>Arcana +12, History +12, Perception +8, Religion +12</t>
  </si>
  <si>
    <t>Necrotic, Radiant</t>
  </si>
  <si>
    <t>Psychic; Charmed, Frightened</t>
  </si>
  <si>
    <t>Sphinx of Lore
Large Celestial, Lawful Neutral
AC 17		                    Initiative +10 (20)
HP 170 (20d10 + 60)
Speed 40 ft., Fly 60 ft.
MOD SAVE            MOD SAVE            MOD SAVE
Str 18 +4 +4          Dex 15 +2 +2        Con 16 +3 +3
Int 18 +4 +4          Wis 18 +4 +4        Cha 18 +4 +4
Skills Arcana +12, History +12, Perception +8,
Religion +12
Resistances Necrotic, Radiant
Immunities Psychic; Charmed, Frightened
Senses Truesight 120 ft.; Passive Perception 18
Languages Celestial, Common
CR 11 (XP 7,200, or 8,400 in lair; PB +4)
Traits
Inscrutable. No magic can observe the sphinx remotely
or detect its thoughts without its permission. Wisdom
(Insight) checks made to ascertain its intentions or sin-
cerity are made with Disadvantage.
Legendary Resistance (3/Day, or 4/Day in Lair). If
the sphinx fails a saving throw, it can choose to suc-
ceed instead.
Actions
Multiattack. The sphinx makes three Claw attacks.
Claw. Melee Attack Roll: +8, reach 5 ft. Hit: 14 (3d6
+ 4) Slashing damage.
Mind-Rending Roar (Recharge 5â€“6). Wisdom Saving
Throw: DC 16, each enemy in a 300-foot Emanation
originating from the sphinx. Failure: 35 (10d6) Psychic
damage, and the target has the Incapacitated condition
until the start of the sphinxâ€™s next turn.
Spellcasting. The sphinx casts one of the following
spells, requiring no Material components and using In-
telligence as the spellcasting ability (spell save DC 16):
At Will: Detect Magic, Identify, Mage Hand, Minor Illu-
sion, Prestidigitation
1/Day Each: Dispel Magic, Legend Lore, Locate Object,
Plane Shift, Remove Curse, Tongues
Legendary Actions
Legendary Action Uses: 3 (4 in Lair). Immediately after
another creatureâ€™s turn, the sphinx can expend a use to
take one of the following actions. The sphinx regains all
expended uses at the start of each of its turns.
Arcane Prowl. The sphinx can teleport up to 30 feet
to an unoccupied space it can see, and it makes one
Claw attack.
Weight of Years. Constitution Saving Throw: DC 16,
one creature the sphinx can see within 120 feet. Failure:
The target gains 1 Exhaustion level. While the target has
any Exhaustion levels, it appears 3d10 years older. Fail-
ure or Success: The sphinx canâ€™t take this action again
until the start of its next turn.</t>
  </si>
  <si>
    <t>Sphinx of Valor</t>
  </si>
  <si>
    <t>Arcana +9, Perception +12, Religion +15</t>
  </si>
  <si>
    <t>Truesight 120 ft.; Passive Perception 22</t>
  </si>
  <si>
    <t>Sphinx of Valor
Large Celestial, Lawful Neutral
AC 17		                    Initiative +12 (22)
HP 199 (19d10 + 95)
Speed 40 ft., Fly 60 ft.
MOD SAVE             MOD SAVE            MOD SAVE
Str 22 +6 +6          Dex 10 +0 +6 Con 20 +5 +11
Int 16 +3 +9          Wis 23 +6 +12 Cha 18 +4 +4
Skills Arcana +9, Perception +12, Religion +15
Resistances Necrotic, Radiant
Immunities Psychic; Charmed, Frightened
Senses Truesight 120 ft.; Passive Perception 22
Languages Celestial, Common
CR 17 (XP 18,000, or 20,000 in lair; PB +6)
Traits
Inscrutable. No magic can observe the sphinx remotely
or detect its thoughts without its permission. Wisdom
(Insight) checks made to ascertain its intentions or sin-
cerity are made with Disadvantage.
Legendary Resistance (3/Day, or 4/Day in Lair). If
the sphinx fails a saving throw, it can choose to suc-
ceed instead.
Actions
Multiattack. The sphinx makes two Claw attacks and
uses Roar.
Claw. Melee Attack Roll: +12, reach 5 ft. Hit: 20 (4d6
+ 6) Slashing damage.
Roar (3/Day). The sphinx emits a magical roar. When-
ever it roars, the roar has a different effect, as detailed
below (the sequence resets when it takes a Long Rest):
First Roar. Wisdom Saving Throw: DC 20, each enemy
in a 500-foot Emanation originating from the sphinx.
Failure: The target has the Frightened condition
for 1 minute.
Second Roar. Wisdom Saving Throw: DC 20, each
enemy in a 500-foot Emanation originating from the
sphinx. Failure: The target has the Paralyzed condi-
tion, and it repeats the save at the end of each of its
turns, ending the effect on itself on a success. After 1
minute, it succeeds automatically.
Third Roar. Constitution Saving Throw: DC 20, each
enemy in a 500-foot Emanation originating from
the sphinx. Failure: 44 (8d10) Thunder damage, and
the target has the Prone condition. Success: Half
damage only.
Spellcasting. The sphinx casts one of the following
spells, requiring no Material components and using
Wisdom as the spellcasting ability (spell save DC 20):
At Will: Detect Evil and Good, Thaumaturgy
1/Day Each: Detect Magic, Dispel Magic, Greater Res-
toration, Heroesâ€™ Feast, Zone of Truth
Legendary Actions
Legendary Action Uses: 3 (4 in Lair). Immediately after
another creatureâ€™s turn, the sphinx can expend a use to
take one of the following actions. The sphinx regains all
expended uses at the start of each of its turns.
Arcane Prowl. The sphinx can teleport up to 30 feet
to an unoccupied space it can see, and it makes one
Claw attack.
Weight of Years. Constitution Saving Throw: DC 16,
one creature the sphinx can see within 120 feet. Failure:
The target gains 1 Exhaustion level. While the target has
any Exhaustion levels, it appears 3d10 years older. Fail-
ure or Success: The sphinx canâ€™t take this action again
until the start of its next turn.</t>
  </si>
  <si>
    <t>Spirit Naga</t>
  </si>
  <si>
    <t>135 (18d10 + 36)</t>
  </si>
  <si>
    <t>Spirit Naga
Large Fiend, Chaotic Evil
AC 17		                     Initiative +3 (13)
HP 135 (18d10 + 36)
Speed 40 ft.
MOD SAVE             MOD SAVE            MOD SAVE
Str 18 +4 +4          Dex 17 +3 +6         Con 14 +2 +5
Int 16 +3 +3          Wis 15 +2 +5         Cha 16 +3 +6
Immunities Poison; Charmed, Poisoned
Senses Darkvision 60 ft.; Passive Perception 12
Languages Abyssal, Common
CR 8 (XP 3,900; PB +3)
Traits
Fiendish Restoration. If it dies, the naga returns to life
in 1d6 days and regains all its Hit Points. Only a Wish
spell can prevent this trait from functioning.
Actions
Multiattack. The naga makes three attacks, using Bite
or Necrotic Ray in any combination.
Bite. Melee Attack Roll: +7, reach 10 ft. Hit: 7 (1d6 + 4)
Piercing damage plus 14 (4d6) Poison damage.
Necrotic Ray. Ranged Attack Roll: +6, range 60 ft. Hit:
21 (6d6) Necrotic damage.
Spellcasting. The naga casts one of the following
spells, requiring no Somatic or Material components
and using Intelligence as the spellcasting ability (spell
save DC 14):
At Will: Detect Magic, Mage Hand, Minor Illusion, Wa-
ter Breathing
2/Day Each: Detect Thoughts, Dimension Door,
Hold Person (level 3 version), Lightning Bolt (level
4 version)</t>
  </si>
  <si>
    <t>Sprite</t>
  </si>
  <si>
    <t>10 (4d4)</t>
  </si>
  <si>
    <t>Perception +3, Stealth +8</t>
  </si>
  <si>
    <t>Sprite
Tiny Fey, Neutral Good
AC 15 		                    Initiative +4 (14)
HP 10 (4d4)
Speed 10 ft., Fly 40 ft.
MOD SAVE
Str 3 âˆ’4 âˆ’4
MOD SAVE
Dex 18 +4 +4
MOD SAVE
Con 10 +0 +0
Int 14 +2 +2          Wis 13 +1 +1         Cha 11 +0 +0
Skills Perception +3, Stealth +8
Senses Passive Perception 13
Languages Common, Elvish, Sylvan
CR 1/4 (XP 50; PB +2)
Actions
Needle Sword. Melee Attack Roll: +6, reach 5 ft. Hit: 6
(1d4 + 4) Piercing damage.
Enchanting Bow. Ranged Attack Roll: +6, range
40/160 ft. Hit: 1 Piercing damage, and the target has
the Charmed condition until the start of the spriteâ€™s
next turn.
Heart Sight. Charisma Saving Throw: DC 10, one crea-
ture within 5 feet the sprite can see (Celestials, Fiends,
and Undead automatically fail the save). Failure: The
sprite knows the targetâ€™s emotions and alignment.
Invisibility. The sprite casts Invisibility on itself, requir-
ing no spell components and using Charisma as the
spellcasting ability.</t>
  </si>
  <si>
    <t>Spy</t>
  </si>
  <si>
    <t>Deception +5, Insight +4, Investigation +5, Perception +6, Sleight of Hand +4, Stealth +6</t>
  </si>
  <si>
    <t>Hand Crossbow, Shortsword, Thievesâ€™ Tools</t>
  </si>
  <si>
    <t>Spy
Medium or Small Humanoid, Neutral
AC 12		                    Initiative +4 (14)
HP 27 (6d8)
Speed 30 ft., Climb 30 ft.
MOD SAVE              MOD SAVE              MOD SAVE
Str 10 +0 +0          Dex 15 +2 +2          Con 10 +0 +0
Int 12 +1 +1          Wis 14 +2 +2          Cha 16 +3 +3
Skills Deception +5, Insight +4, Investigation +5,
Perception +6, Sleight of Hand +4, Stealth +6
Gear Hand Crossbow, Shortsword, Thievesâ€™ Tools
Senses Passive Perception 16
Languages Common plus one other language
CR 1 (XP 200; PB +2)
Actions
Shortsword. Melee Attack Roll: +4, reach 5 ft. Hit: 5
(1d6 + 2) Piercing damage plus 7 (2d6) Poison damage.
Hand Crossbow. Ranged Attack Roll: +4, range 30/120
ft. Hit: 5 (1d6 + 2) Piercing damage plus 7 (2d6) Poi-
son damage.
Bonus Actions
Cunning Action. The spy takes the Dash, Disengage, or
Hide action.</t>
  </si>
  <si>
    <t>Stirge</t>
  </si>
  <si>
    <t>5 (2d4)</t>
  </si>
  <si>
    <t>Stirge
Tiny Monstrosity, Unaligned
AC 13		                      Initiative +3 (13)
HP 5 (2d4)
Speed 10 ft., Fly 40 ft.
MOD SAVE
Str 4 âˆ’3 âˆ’3
MOD SAVE
Dex 16 +3 +3
MOD SAVE
Con 11 +0 +0
Int 2 âˆ’4 âˆ’4           Wis 8 âˆ’1 âˆ’1        Cha 6 âˆ’2 âˆ’2
Senses Darkvision 60 ft.; Passive Perception 9
Languages None
CR 1/8 (XP 25; PB +2)
Actions
Proboscis. Melee Attack Roll: +5, reach 5 ft. Hit: 6 (1d6
+ 3) Piercing damage, and the stirge attaches to the
target. While attached, the stirge canâ€™t make Proboscis
attacks, and the target takes 5 (2d4) Necrotic damage at
the start of each of the stirgeâ€™s turns.
The stirge can detach itself by spending 5 feet of its
movement. The target or a creature within 5 feet of it
can detach the stirge as an action.</t>
  </si>
  <si>
    <t>Stone Giant</t>
  </si>
  <si>
    <t>126 (11d12 + 55)</t>
  </si>
  <si>
    <t>Athletics +12, Perception +4, Stealth +5</t>
  </si>
  <si>
    <t>Stone Giant
Huge Giant, Neutral
AC 17		                   Initiative +5 (15)
HP 126 (11d12 + 55)
Speed 40 ft.
MOD SAVE            MOD SAVE            MOD SAVE
Str 23 +6 +6          Dex 15 +2 +5       Con 20 +5 +8
Int 10 +0 +0          Wis 12 +1 +4       Cha 9 âˆ’1 âˆ’1
Skills Athletics +12, Perception +4, Stealth +5
Senses Darkvision 60 ft.; Passive Perception 14
Languages Giant
CR 7 (XP 2,900; PB +3)
Actions
Multiattack. The giant makes two attacks, using Stone
Club or Boulder in any combination.
Stone Club. Melee Attack Roll: +9, reach 15 ft. Hit: 22
(3d10 + 6) Bludgeoning damage.
Boulder. Ranged Attack Roll: +9, range 60/240 ft. Hit:
15 (2d8 + 6) Bludgeoning damage. If the target is a
Large or smaller creature, it has the Prone condition.
Reactions
Deflect Missile (Recharge 5â€“6). Trigger: The giant is hit
by a ranged attack roll and takes Bludgeoning, Pierc-
ing, or Slashing damage from it. Response: The giant
reduces the damage it takes from the attack by 11 (1d10
+ 6), and if that damage is reduced to 0, the giant can
redirect some of the attackâ€™s force. Dexterity Saving
Throw: DC 17, one creature the giant can see within 60
feet. Failure: 11 (1d10 + 6) Force damage.</t>
  </si>
  <si>
    <t>Stone Golem</t>
  </si>
  <si>
    <t>Poison, Psychic; Charmed, Exhaustion, Frightened, Paralyzed, Petrified, Poisoned</t>
  </si>
  <si>
    <t>Stone Golem
Large Construct, Unaligned
AC 18		                      Initiative +3 (13)
HP 220 (21d10 + 105)
Speed 30 ft.
MOD SAVE              MOD SAVE          MOD SAVE
Str 22 +6 +6          Dex 9 âˆ’1 âˆ’1           Con 20 +5 +5
Int 3 âˆ’4 âˆ’4           Wis 11 +0 +0          Cha 1 âˆ’5 âˆ’5
Immunities Poison, Psychic; Charmed, Exhaustion,
Frightened, Paralyzed, Petrified, Poisoned
Senses Darkvision 120 ft.; Passive Perception 10
Languages Understands Common plus two other
languages but canâ€™t speak
CR 10 (XP 5,900; PB +4)
Traits
Immutable Form. The golem canâ€™t shape-shift.
Magic Resistance. The golem has Advantage on saving
throws against spells and other magical effects.
Actions
Multiattack. The golem makes two attacks, using Slam
or Force Bolt in any combination.
Slam. Melee Attack Roll: +10, reach 5 ft. Hit: 15 (2d8
+ 6) Bludgeoning damage plus 9 (2d8) Force damage.
Force Bolt. Ranged Attack Roll: +9, range 120 ft. Hit:
22 (4d10) Force damage.
Bonus Actions
Slow (Recharge 5â€“6). The golem casts the Slow spell,
requiring no spell components and using Constitution
as the spellcasting ability (spell save DC 17).</t>
  </si>
  <si>
    <t>Storm Giant</t>
  </si>
  <si>
    <t>230 (20d12 + 100)</t>
  </si>
  <si>
    <t>Speed 50 ft., Fly 25 ft. (hover), Swim 50 ft.</t>
  </si>
  <si>
    <t>Arcana +8, Athletics +14, History +8, Perception +10</t>
  </si>
  <si>
    <t>Darkvision 120 ft., Truesight 30 ft.; Passive Perception 20</t>
  </si>
  <si>
    <t>Storm Giant
Huge Giant, Chaotic Good
AC 16		                      Initiative +7 (17)
HP 230 (20d12 + 100)
Speed 50 ft., Fly 25 ft. (hover), Swim 50 ft.
MOD SAVE              MOD SAVE          MOD SAVE
Str 29 +9 +14 Dex 14 +2 +2 Con 20 +5 +10
Int 16 +3 +3 Wis 20 +5 +10 Cha 18 +4 +9
Skills Arcana +8, Athletics +14, History +8, Perception +10
Resistances Cold
Immunities Lightning, Thunder
Senses Darkvision 120 ft., Truesight 30 ft.;
Passive Perception 20
Languages Common, Giant
CR 13 (XP 10,000; PB +5)
Traits
Amphibious. The giant can breathe air and water.
Actions
Multiattack. The giant makes two attacks, using Storm
Sword or Thunderbolt in any combination.
Storm Sword. Melee Attack Roll: +14, reach 10 ft.
Hit: 23 (4d6 + 9) Slashing damage plus 13 (3d8) Light-
ning damage.
Thunderbolt. Ranged Attack Roll: +14, range 500 ft.
Hit: 22 (2d12 + 9) Lightning damage, and the target has
the Blinded and Deafened conditions until the start of
the giantâ€™s next turn.
Lightning Storm (Recharge 5â€“6). Dexterity Saving
Throw: DC 18, each creature in a 10-foot-radius,
40-foot-high Cylinder originating from a point the giant
can see within 500 feet. Failure: 55 (10d10) Lightning
damage. Success: Half damage.
Spellcasting. The giant casts one of the following spells,
requiring no Material components and using Wisdom
as the spellcasting ability (spell save DC 18):
At Will: Detect Magic, Light
1/Day: Control Weather</t>
  </si>
  <si>
    <t>Succubus</t>
  </si>
  <si>
    <t>71 (13d8 + 13)</t>
  </si>
  <si>
    <t>Succubus
Medium Fiend, Neutral Evil
AC 15		                    Initiative +3 (13)
HP 71 (13d8 + 13)
Speed 30 ft., Fly 60 ft.
MOD SAVE             MOD SAVE           MOD SAVE
Str 8 âˆ’1 âˆ’1           Dex 17 +3 +3        Con 13 +1 +1
Int 15 +2 +2          Wis 12 +1 +1        Cha 20 +5 +5
Skills Deception +9, Insight +5, Perception +5, Persuasion
+9, Stealth +7
Resistances Cold, Fire, Poison, Psychic
Senses Darkvision 60 ft.; Passive Perception 15
Languages Abyssal, Common, Infernal; telepathy 60 ft.
CR 4 (XP 1,100; PB +2)
Traits
Incubus Form. When the succubus finishes a Long
Rest, it can shape-shift into an Incubus, using that stat
block instead of this one.
Actions
Multiattack. The succubus makes one Fiendish Touch
attack and uses Charm or Draining Kiss.
Fiendish Touch. Melee Attack Roll: +7, reach 5 ft. Hit:
16 (2d10 + 5) Psychic damage.
Charm. The succubus casts Dominate Person (level 8
version), requiring no spell components and using Cha-
risma as the spellcasting ability (spell save DC 15).
Draining Kiss. Constitution Saving Throw: DC 15, one
creature Charmed by the succubus within 5 feet. Fail-
ure: 13 (3d8) Psychic damage. Success: Half damage.
Failure or Success: The targetâ€™s Hit Point maximum de-
creases by an amount equal to the damage taken.
Bonus Actions
Shape-Shift. The succubus shape-shifts into a Medium
or Small Humanoid, or it returns to its true form. Its
game statistics are the same in each form, except its Fly
Speed is available only in its true form. Any equipment
it is wearing or carrying isnâ€™t transformed.</t>
  </si>
  <si>
    <t>Tarrasque</t>
  </si>
  <si>
    <t>697 (34d20 + 340)</t>
  </si>
  <si>
    <t>Speed 60 ft., Burrow 40 ft., Climb 60 ft.</t>
  </si>
  <si>
    <t>Fire, Poison; Charmed, Deafened, Frightened, Paralyzed, Poisoned</t>
  </si>
  <si>
    <t>Blindsight 120 ft.; Passive Perception 19</t>
  </si>
  <si>
    <t>Tarrasque
Gargantuan Monstrosity (Titan), Unaligned
AC 25		                    Initiative +18 (28)
HP 697 (34d20 + 340)
Speed 60 ft., Burrow 40 ft., Climb 60 ft.
MOD SAVE            MOD SAVE           MOD SAVE
Str 30 +10 +10 Dex 11 +0 +9              Con 30 +10 +10
Int 3 âˆ’4 +5 Wis 11 +0 +9                 Cha 11 +0 +9
Skills Perception +9
Resistances Bludgeoning, Piercing, Slashing
Immunities Fire, Poison; Charmed, Deafened, Frightened,
Paralyzed, Poisoned
Senses Blindsight 120 ft.; Passive Perception 19
Languages None
CR 30 (XP 155,000; PB +9)
Traits
Legendary Resistance (6/Day). If the tarrasque fails a
saving throw, it can choose to succeed instead.
Magic Resistance. The tarrasque has Advantage on sav-
ing throws against spells and other magical effects.
Reflective Carapace. If the tarrasque is targeted by a
Magic Missile spell or a spell that requires a ranged
attack roll, roll 1d6. On a 1â€“5, the tarrasque is unaf-
fected. On a 6, the tarrasque is unaffected and reflects
the spell, turning the caster into the target.
Siege Monster. The tarrasque deals double damage to
objects and structures.
Actions
Multiattack. The tarrasque makes one Bite attack
and three other attacks, using Claw or Tail in any
combination.
Bite. Melee Attack Roll: +19, reach 15 ft. Hit: 36 (4d12
+ 10) Piercing damage, and the target has the Grappled
condition (escape DC 20). Until the grapple ends, the
target has the Restrained condition and canâ€™t teleport.
Claw. Melee Attack Roll: +19, reach 15 ft. Hit: 28 (4d8
+ 10) Slashing damage.
Tail. Melee Attack Roll: +19, reach 30 ft. Hit: 23 (3d8
+ 10) Bludgeoning damage. If the target is a Huge or
smaller creature, it has the Prone condition.
Thunderous Bellow (Recharge 5â€“6). Constitution Sav-
ing Throw: DC 27, each creature and each object that
isnâ€™t being worn or carried in a 150-foot Cone. Failure:
78 (12d12) Thunder damage, and the target has the
Deafened and Frightened conditions until the end of its
next turn. Success: Half damage only.
Bonus Actions
Swallow. Strength Saving Throw: DC 27, one Large or
smaller creature Grappled by the tarrasque (it can have
up to six creatures swallowed at a time). Failure: The
target is swallowed, and the Grappled condition ends.
A swallowed creature has the Blinded and Restrained
conditions and canâ€™t teleport, it has Total Cover against
attacks and other effects outside the tarrasque, and it
takes 56 (16d6) Acid damage at the start of each of the
tarrasqueâ€™s turns.
If the tarrasque takes 60 damage or more on a single
turn from a creature inside it, the tarrasque must suc-
ceed on a DC 20 Constitution saving throw at the end
of that turn or regurgitate all swallowed creatures, each
of which falls in a space within 10 feet of the tarrasque
and has the Prone condition. If the tarrasque dies, any
swallowed creature no longer has the Restrained con-
dition and can escape from the corpse using 20 feet of
movement, exiting Prone.
Legendary Actions
Legendary Action Uses: 3. Immediately after another
creatureâ€™s turn, the tarrasque can expend a use to take
one of the following actions. The tarrasque regains all
expended uses at the start of each of its turns.
Onslaught. The tarrasque moves up to half its Speed,
and it makes one Claw or Tail attack.
World-Shaking Movement. The tarrasque moves up to
its Speed. At the end of this movement, the tarrasque
creates an instantaneous shock wave in a 60-foot Em-
anation originating from itself. Creatures in that area
lose Concentration and, if Medium or smaller, have the
Prone condition. The tarrasque canâ€™t take this action
again until the start of its next turn.</t>
  </si>
  <si>
    <t>Tough</t>
  </si>
  <si>
    <t>Toughs</t>
  </si>
  <si>
    <t>32 (5d8 + 10)</t>
  </si>
  <si>
    <t>Heavy Crossbow, Leather Armor, Mace</t>
  </si>
  <si>
    <t>Tough
Medium or Small Humanoid, Neutral
AC 12		                    Initiative +1 (11)
HP 32 (5d8 + 10)
Speed 30 ft.
MOD SAVE             MOD SAVE             MOD SAVE
Str 15 +2 +2         Dex 12 +1 +1         Con 14 +2 +2
Int 10 +0 +0         Wis 10 +0 +0         Cha 11 +0 +0
Gear Heavy Crossbow, Leather Armor, Mace
Senses Passive Perception 10
Languages Common
CR 1/2 (XP 100; PB +2)
Traits
Pack Tactics. The tough has Advantage on an attack
roll against a creature if at least one of the toughâ€™s allies
is within 5 feet of the creature and the ally doesnâ€™t have
the Incapacitated condition.
Actions
Mace. Melee Attack Roll: +4, reach 5 ft. Hit: 5 (1d6
+ 2) Bludgeoning damage.
Heavy Crossbow. Ranged Attack Roll: +3, range
100/400 ft. Hit: 6 (1d10 + 1) Piercing damage.</t>
  </si>
  <si>
    <t>Tough Boss</t>
  </si>
  <si>
    <t>Chain Mail, Heavy Crossbow, Warhammer</t>
  </si>
  <si>
    <t>Tough Boss
Medium or Small Humanoid, Neutral
AC 16		           Initiative +2 (12)
HP 82 (11d8 + 33)
Speed 30 ft.
MOD SAVE             MOD SAVE             MOD SAVE
Str 17 +3 +5         Dex 14 +2 +2         Con 16 +3 +5
Int 11 +0 +0         Wis 10 +0 +0         Cha 11 +0 +2
Gear Chain Mail, Heavy Crossbow, Warhammer
Senses Passive Perception 10
Languages Common plus one other language
CR 4 (XP 1,100; PB +2)
Traits
Pack Tactics. The tough has Advantage on an attack
roll against a creature if at least one of the toughâ€™s allies
is within 5 feet of the creature and the ally doesnâ€™t have
the Incapacitated condition.
Actions
Multiattack. The tough makes two attacks, using War-
hammer or Heavy Crossbow in any combination.
Warhammer. Melee Attack Roll: +5, reach 5 ft. Hit: 12
(2d8 + 3) Bludgeoning damage. If the target is a Large
or smaller creature, the tough pushes the target up to 10
feet straight away from itself.
Heavy Crossbow. Ranged Attack Roll: +4, range
100/400 ft. Hit: 13 (2d10 + 2) Piercing damage.</t>
  </si>
  <si>
    <t>Treant</t>
  </si>
  <si>
    <t>138 (12d12 + 60)</t>
  </si>
  <si>
    <t>Common, Druidic, Elvish, Sylvan</t>
  </si>
  <si>
    <t>Treant
Huge Plant, Chaotic Good
AC 16		                     Initiative +3 (13)
HP 138 (12d12 + 60)
Speed 30 ft.
MOD SAVE             MOD SAVE           MOD SAVE
Str 23 +6 +6         Dex 8 âˆ’1 âˆ’1           Con 21 +5 +5
Int 12 +1 +1         Wis 16 +3 +3          Cha 12 +1 +1
Vulnerabilities Fire
Resistances Bludgeoning, Piercing
Senses Passive Perception 13
Languages Common, Druidic, Elvish, Sylvan
CR 9 (XP 5,000; PB +4)
Traits
Siege Monster. The treant deals double damage to ob-
jects and structures.
Actions
Multiattack. The treant makes two Slam attacks.
Slam. Melee Attack Roll: +10, reach 5 ft. Hit: 16 (3d6
+ 6) Bludgeoning damage.
Hail of Bark. Ranged Attack Roll: +10, range 180 ft.
Hit: 28 (4d10 + 6) Piercing damage.
Animate Trees (1/Day). The treant magically animates
up to two trees it can see within 60 feet of itself. Each
tree uses the Treant stat block, except it has Intelligence
and Charisma scores of 1, it canâ€™t speak, and it lacks
this action. The tree takes its turn immediately after the
treant on the same Initiative count, and it obeys the tre-
ant. A tree remains animate for 1 day or until it dies, the
treant dies, or it is more than 120 feet from the treant.
The tree then takes root if possible.</t>
  </si>
  <si>
    <t>Troll</t>
  </si>
  <si>
    <t>Troll
Large Giant, Chaotic Evil
AC 15		                     Initiative +1 (11)
HP 94 (9d10 + 45)
Speed 30 ft.
MOD SAVE             MOD SAVE           MOD SAVE
Str 18 +4 +4         Dex 13 +1 +1          Con 20 +5 +5
Int 7 âˆ’2 âˆ’2          Wis 9 âˆ’1 âˆ’1           Cha 7 âˆ’2 âˆ’2
Skills Perception +5
Senses Darkvision 60 ft.; Passive Perception 15
Languages Giant
CR 5 (XP 1,800; PB +3)
Traits
Loathsome Limbs (4/Day). If the troll ends any turn
Bloodied and took 15+ Slashing damage during that
turn, one of the trollâ€™s limbs is severed, falls into the
trollâ€™s space, and becomes a Troll Limb. The limb acts
immediately after the trollâ€™s turn. The troll has 1 Exhaus-
tion level for each missing limb, and it grows replace-
ment limbs the next time it regains Hit Points.
Regeneration. The troll regains 15 Hit Points at the start
of each of its turns. If the troll takes Acid or Fire dam-
age, this trait doesnâ€™t function on the trollâ€™s next turn.
The troll dies only if it starts its turn with 0 Hit Points
and doesnâ€™t regenerate.
Actions
Multiattack. The troll makes three Rend attacks.
Rend. Melee Attack Roll: +7, reach 10 ft. Hit: 11 (2d6
+ 4) Slashing damage.
Bonus Actions
Charge. The troll moves up to half its Speed straight
toward an enemy it can see.</t>
  </si>
  <si>
    <t>Troll Limb</t>
  </si>
  <si>
    <t>Troll Limb
Small Giant, Chaotic Evil
AC 13		      Initiative +1 (11)
HP 14 (4d6)
Speed 20 ft.
MOD SAVE            MOD SAVE            MOD SAVE
Str 18 +4 +4         Dex 12 +1 +1        Con 10 +0 +0
Int 1 âˆ’5 âˆ’5          Wis 9 âˆ’1 âˆ’1         Cha 1 âˆ’5 âˆ’5
Senses Darkvision 60 ft.; Passive Perception 9
Languages None
CR 1/2 (XP 100; PB +2)
Traits
Regeneration. The limb regains 5 Hit Points at the start
of each of its turns. If the limb takes Acid or Fire dam-
age, this trait doesnâ€™t function on the limbâ€™s next turn.
The limb dies only if it starts its turn with 0 Hit Points
and doesnâ€™t regenerate.
Troll Spawn. The limb uncannily has the same senses
as a whole troll. If the limb isnâ€™t destroyed within 24
hours, roll 1d12. On a 12, the limb turns into a Troll.
Otherwise, the limb withers away.
Actions
Rend. Melee Attack Roll: +6, reach 5 ft. Hit: 9 (2d4 +
4) Slashing damage.</t>
  </si>
  <si>
    <t>Unicorn</t>
  </si>
  <si>
    <t>Poison; Charmed, Paralyzed, Poisoned</t>
  </si>
  <si>
    <t>Celestial, Elvish, Sylvan; telepathy 120 ft.</t>
  </si>
  <si>
    <t>Unicorn
Large Celestial, Lawful Good
AC 12		                    Initiative +8 (18)
HP 97 (13d10 + 26)
Speed 50 ft.
MOD SAVE             MOD SAVE             MOD SAVE
Str 18 +4 +4         Dex 14 +2 +2         Con 15 +2 +2
Int 11 +0 +0         Wis 17 +3 +3         Cha 16 +3 +3
Immunities Poison; Charmed, Paralyzed, Poisoned
Senses Darkvision 60 ft.; Passive Perception 13
Languages Celestial, Elvish, Sylvan; telepathy 120 ft.
CR 5 (XP 1,800; PB +3)
Traits
Legendary Resistance (3/Day). If the unicorn fails a sav-
ing throw, it can choose to succeed instead.
Magic Resistance. The unicorn has Advantage on sav-
ing throws against spells and other magical effects.
Actions
Multiattack. The unicorn makes one Hooves attack and
one Radiant Horn attack.
Hooves. Melee Attack Roll: +7, reach 5 ft. Hit: 11 (2d6
+ 4) Bludgeoning damage.
Radiant Horn. Melee Attack Roll: +7, reach 5 ft. Hit: 9
(1d10 + 4) Radiant damage.
Spellcasting. The unicorn casts one of the following
spells, requiring no spell components and using Cha-
risma as the spellcasting ability (spell save DC 14):
At Will: Detect Evil and Good, Druidcraft
1/Day Each: Calm Emotions, Dispel Evil and Good, En-
tangle, Pass without Trace, Word of Recall
Bonus Actions
Unicornâ€™s Blessing (3/Day). The unicorn touches an-
other creature with its horn and casts Cure Wounds
or Lesser Restoration on that creature, using the same
spellcasting ability as Spellcasting.
Legendary Actions
Legendary Action Uses: 3. Immediately after another
creatureâ€™s turn, the unicorn can expend a use to take one
of the following actions. The unicorn regains all expended
uses at the start of each of its turns.
Charging Horn. The unicorn moves up to half its Speed
without provoking Opportunity Attacks, and it makes
one Radiant Horn attack.
Shimmering Shield. The unicorn targets itself or one
creature it can see within 60 feet of itself. The target
gains 10 (3d6) Temporary Hit Points, and its AC in-
creases by 2 until the end of the unicornâ€™s next turn.
The unicorn canâ€™t take this action again until the start of
its next turn.</t>
  </si>
  <si>
    <t>Vampire Familiar</t>
  </si>
  <si>
    <t>Vampires</t>
  </si>
  <si>
    <t>Perception +4, Persuasion +4, Stealth +7</t>
  </si>
  <si>
    <t>Charmed (except from its vampire master)</t>
  </si>
  <si>
    <t>Daggers (10)</t>
  </si>
  <si>
    <t>Vampire Familiar
Medium or Small Humanoid, Neutral Evil
AC 15		                    Initiative +5 (15)
HP 65 (10d8 + 20)
Speed 30 ft., Climb 30 ft.
MOD SAVE             MOD SAVE           MOD SAVE
Str 17 +3 +3         Dex 16 +3 +5         Con 15 +2 +2
Int 10 +0 +0         Wis 10 +0 +2         Cha 14 +2 +2
Skills Perception +4, Persuasion +4, Stealth +7
Resistances Necrotic
Immunities Charmed (except from its vampire master)
Gear Daggers (10)
Senses Darkvision 60 ft.; Passive Perception 14
Languages Common plus one other language
CR 3 (XP 700; PB +2)
Traits
Vampiric Connection. While the familiar and its vam-
pire master are on the same plane of existence, the
vampire can communicate with the familiar telepathi-
cally, and the vampire can perceive through the famil-
iarâ€™s senses.
Actions
Multiattack. The familiar makes two Umbral Dag-
ger attacks.
Umbral Dagger. Melee or Ranged Attack Roll: +5,
reach 5 ft. or range 20/60 ft. Hit: 5 (1d4 + 3) Piercing
damage plus 7 (3d4) Necrotic damage. If the target
is reduced to 0 Hit Points by this attack, the target
becomes Stable but has the Poisoned condition for 1
hour. While it has the Poisoned condition, the target
has the Paralyzed condition.
Bonus Actions
Deathless Agility. The familiar takes the Dash or Disen-
gage action.</t>
  </si>
  <si>
    <t>Vampire Spawn</t>
  </si>
  <si>
    <t>90 (12d8 + 36)</t>
  </si>
  <si>
    <t>Perception +3, Stealth +6</t>
  </si>
  <si>
    <t>Vampire Spawn
Medium or Small Undead, Neutral Evil
AC 16		                    Initiative +3 (13)
HP 90 (12d8 + 36)
Speed 30 ft.
MOD SAVE             MOD SAVE             MOD SAVE
Str 16 +3 +3         Dex 16 +3 +6         Con 16 +3 +3
Int 11 +0 +0         Wis 10 +0 +3         Cha 12 +1 +1
Skills Perception +3, Stealth +6
Resistances Necrotic
Senses Darkvision 60 ft.; Passive Perception 13
Languages Common plus one other language
CR 5 (XP 1,800; PB +3)
Traits
Spider Climb. The vampire can climb difficult surfaces,
including along ceilings, without needing to make an
ability check.
Vampire Weakness. The vampire has these
weaknesses:
Forbiddance. The vampire canâ€™t enter a residence with-
out an invitation from an occupant.
Running Water. The vampire takes 20 Acid damage if it
ends its turn in running water.
Stake to the Heart. The vampire is destroyed if a
weapon that deals Piercing damage is driven into the
vampireâ€™s heart while the vampire has the Incapaci-
tated condition.
Sunlight. The vampire takes 20 Radiant damage if it
starts its turn in sunlight. While in sunlight, it has Dis-
advantage on attack rolls and ability checks.
Actions
Multiattack. The vampire makes two Claw attacks and
uses Bite.
Claw. Melee Attack Roll: +6, reach 5 ft. Hit: 8 (2d4 + 3)
Slashing damage. If the target is a Medium or smaller
creature, it has the Grappled condition (escape DC 13)
from one of two claws.
Bite. Constitution Saving Throw: DC 14, one creature
within 5 feet that is willing or that has the Grappled,
Incapacitated, or Restrained condition. Failure: 5 (1d4
+ 3) Piercing damage plus 10 (3d6) Necrotic dam-
age. The targetâ€™s Hit Point maximum decreases by an
amount equal to the Necrotic damage taken, and the
vampire regains Hit Points equal to that amount.
Bonus Actions
Deathless Agility. The vampire takes the Dash or Dis-
engage action.</t>
  </si>
  <si>
    <t>Vampire</t>
  </si>
  <si>
    <t>195 (23d8 + 92)</t>
  </si>
  <si>
    <t>Perception +7, Stealth +9</t>
  </si>
  <si>
    <t>Darkvision 120 ft.; Passive Perception 17</t>
  </si>
  <si>
    <t>Vampire
Medium or Small Undead, Lawful Evil
AC 16		                    Initiative +14 (24)
HP 195 (23d8 + 92)
Speed 40 ft., Climb 40 ft.
MOD SAVE             MOD SAVE             MOD SAVE
Str 18 +4 +4         Dex 18 +4 +9         Con 18 +4 +9
Int 17 +3 +3         Wis 15 +2 +7         Cha 18 +4 +9
Skills Perception +7, Stealth +9
Resistances Necrotic
Senses Darkvision 120 ft.; Passive Perception 17
Languages Common plus two other languages
CR 13 (XP 10,000, or 11,500 in lair; PB +5)
Traits
Legendary Resistance (3/Day, or 4/Day in Lair). If
the vampire fails a saving throw, it can choose to suc-
ceed instead.
Misty Escape. If the vampire drops to 0 Hit Points out-
side its resting place, the vampire uses Shape-Shift to
become mist (no action required). If it canâ€™t use Shape-
Shift, it is destroyed.
While it has 0 Hit Points in mist form, it canâ€™t return
to its vampire form, and it must reach its resting place
within 2 hours or be destroyed. Once in its resting
place, it returns to its vampire form and has the Para-
lyzed condition until it regains any Hit Points, and it
regains 1 Hit Point after spending 1 hour there.
Spider Climb. The vampire can climb difficult surfaces,
including along ceilings, without needing to make an
ability check.
Vampire Weakness. The vampire has these
weaknesses:
Forbiddance. The vampire canâ€™t enter a residence with-
out an invitation from an occupant.
Running Water. The vampire takes 20 Acid damage if it
ends its turn in running water.
Stake to the Heart. If a weapon that deals Piercing
damage is driven into the vampireâ€™s heart while the
vampire has the Incapacitated condition in its resting
place, the vampire has the Paralyzed condition until
the weapon is removed.
Sunlight. The vampire takes 20 Radiant damage if it
starts its turn in sunlight. While in sunlight, it has Dis-
advantage on attack rolls and ability checks.
Actions
Multiattack (Vampire Form Only). The vampire makes
two Grave Strike attacks and uses Bite.
Grave Strike (Vampire Form Only). Melee Attack Roll:
+9, reach 5 ft. Hit: 8 (1d8 + 4) Bludgeoning damage
plus 7 (2d6) Necrotic damage. If the target is a Large or
smaller creature, it has the Grappled condition (escape
DC 14) from one of two hands.
Bite (Bat or Vampire Form Only). Constitution Saving
Throw: DC 17, one creature within 5 feet that is willing
or that has the Grappled, Incapacitated, or Restrained
condition. Failure: 6 (1d4 + 4) Piercing damage plus 13
(3d8) Necrotic damage. The targetâ€™s Hit Point maximum
decreases by an amount equal to the Necrotic damage
taken, and the vampire regains Hit Points equal to that
amount. A Humanoid reduced to 0 Hit Points by this
damage and then buried rises the following sunset as a
Vampire Spawn under the vampireâ€™s control.
Bonus Actions
Charm (Recharge 5â€“6). The vampire casts Charm Per-
son, requiring no spell components and using Charisma
as the spellcasting ability (spell save DC 17), and the
duration is 24 hours. The Charmed target is a willing
recipient of the vampireâ€™s Bite, the damage of which
doesnâ€™t end the spell. When the spell ends, the target is
unaware it was Charmed by the vampire.
Shape-Shift. If the vampire isnâ€™t in sunlight or running
water, it shape-shifts into a Tiny bat (Speed 5 ft., Fly
Speed 30 ft.) or a Medium cloud of mist (Speed 5 ft.,
Fly Speed 20 ft. [hover]), or it returns to its vampire
form. Anything it is wearing transforms with it.
While in bat form, the vampire canâ€™t speak. Its game
statistics, other than its size and Speed, are unchanged.
While in mist form, the vampire canâ€™t take any ac-
tions, speak, or manipulate objects. It is weightless and
can enter an enemyâ€™s space and stop there. If air can
pass through a space, the mist can do so, but it canâ€™t
pass through liquid. It has Resistance to all damage, ex-
cept the damage it takes from sunlight.
Legendary Actions
Legendary Action Uses: 3 (4 in Lair). Immediately after
another creatureâ€™s turn, the vampire can expend a use to
take one of the following actions. The vampire regains all
expended uses at the start of each of its turns.
Beguile. The vampire casts Command, requiring no
spell components and using Charisma as the spellcast-
ing ability (spell save DC 17). The vampire canâ€™t take
this action again until the start of its next turn.
Deathless Strike. The vampire moves up to half its
Speed, and it makes one Grave Strike attack.</t>
  </si>
  <si>
    <t>Vrock</t>
  </si>
  <si>
    <t>Vrock
Large Fiend (Demon), Chaotic Evil
AC 15		                    Initiative +2 (12)
HP 152 (16d10 + 64)
Speed 40 ft., Fly 60 ft.
MOD SAVE             MOD SAVE            MOD SAVE
Str 17 +3 +3         Dex 15 +2 +5         Con 18 +4 +4
Int 8 âˆ’1 âˆ’1          Wis 13 +1 +4         Cha 8 âˆ’1 +2
Resistances Cold, Fire, Lightning
Immunities Poison; Poisoned
Senses Darkvision 120 ft.; Passive Perception 11
Languages Abyssal; telepathy 120 ft.
CR 6 (XP 2,300; PB +3)
Traits
Demonic Restoration. If the vrock dies outside the
Abyss, its body dissolves into ichor, and it gains a new
body instantly, reviving with all its Hit Points some-
where in the Abyss.
Magic Resistance. The vrock has Advantage on saving
throws against spells and other magical effects.
Actions
Multiattack. The vrock makes two Shred attacks.
Shred. Melee Attack Roll: +6, reach 5 ft. Hit: 10 (2d6
+ 3) Piercing damage plus 10 (3d6) Poison damage.
Spores (Recharge 6). Constitution Saving Throw: DC
15, each creature in a 20-foot Emanation originating
from the vrock. Failure: The target has the Poisoned
condition and repeats the save at the end of each of its
turns, ending the effect on itself on a success. While
Poisoned, the target takes 5 (1d10) Poison damage at
the start of each of its turns. Emptying a flask of Holy
Water on the target ends the effect early.
Stunning Screech (1/Day). Constitution Saving Throw:
DC 15, each creature in a 20-foot Emanation originating
from the vrock (demons succeed automatically). Fail-
ure: 10 (3d6) Thunder damage, and the target has the
Stunned condition until the end of the vrockâ€™s next turn.</t>
  </si>
  <si>
    <t>Warrior Infantry</t>
  </si>
  <si>
    <t>Warriors</t>
  </si>
  <si>
    <t>Chain Shirt, Spear</t>
  </si>
  <si>
    <t>Warrior Infantry
Medium or Small Humanoid, Neutral
AC 13
HP 9 (2d8)
Initiative +0 (10)
Speed 30 ft.
MOD SAVE             MOD SAVE            MOD SAVE
Str 13 +1 +1         Dex 11 +0 +0         Con 11 +0 +0
Int 8 âˆ’1 âˆ’1          Wis 11 +0 +0         Cha 8 âˆ’1 âˆ’1
Gear Chain Shirt, Spear
Senses Passive Perception 10
Languages Common
CR 1/8 (XP 25; PB +2)
Traits
Pack Tactics. The warrior has Advantage on an attack
roll against a creature if at least one of the warriorâ€™s al-
lies is within 5 feet of the creature and the ally doesnâ€™t
have the Incapacitated condition.
Actions
Spear. Melee or Ranged Attack Roll: +3, reach 5 ft. or
range 20/60 ft. Hit: 4 (1d6 + 1) Piercing damage.</t>
  </si>
  <si>
    <t>Warrior Veteran</t>
  </si>
  <si>
    <t>Athletics +5, Perception +2</t>
  </si>
  <si>
    <t>Greatsword, Heavy Crossbow, Splint Armor</t>
  </si>
  <si>
    <t>Warrior Veteran
Medium or Small Humanoid, Neutral
AC 17		                     Initiative +3 (13)
HP 65 (10d8 + 20)
Speed 30 ft.
MOD SAVE             MOD SAVE             MOD SAVE
Str 16 +3 +3         Dex 13 +1 +1          Con 14 +2 +2
Int 10 +0 +0         Wis 11 +0 +0          Cha 10 +0 +0
Skills Athletics +5, Perception +2
Gear Greatsword, Heavy Crossbow, Splint Armor
Senses Passive Perception 12
Languages Common plus one other language
CR 3 (XP 700; PB +2)
Actions
Multiattack. The warrior makes two Greatsword or
Heavy Crossbow attacks.
Greatsword. Melee Attack Roll: +5, reach 5 ft. Hit: 10
(2d6 + 3) Slashing damage.
Heavy Crossbow. Ranged Attack Roll: +3, range
100/400 ft. Hit: 12 (2d10 + 1) Piercing damage.
Reactions
Parry. Trigger: The warrior is hit by a melee attack roll
while holding a weapon. Response: The warrior adds 2
to its AC against that attack, possibly causing it to miss.</t>
  </si>
  <si>
    <t>Water Elemental</t>
  </si>
  <si>
    <t>Speed 30 ft., Swim 90 ft.</t>
  </si>
  <si>
    <t>Acid, Fire</t>
  </si>
  <si>
    <t>Primordial (Aquan)</t>
  </si>
  <si>
    <t>Water Elemental
Large Elemental, Neutral
AC 14		                   Initiative +2 (12)
HP 114 (12d10 + 48)
Speed 30 ft., Swim 90 ft.
MOD SAVE             MOD SAVE             MOD SAVE
Str 18 +4 +4         Dex 14 +2 +2          Con 18 +4 +4
Int 5 âˆ’3 âˆ’3          Wis 10 +0 +0          Cha 8 âˆ’1 âˆ’1
Resistances Acid, Fire
Immunities Poison; Exhaustion, Grappled, Paralyzed,
Petrified, Poisoned, Prone, Restrained, Unconscious
Senses Darkvision 60 ft.; Passive Perception 10
Languages Primordial (Aquan)
CR 5 (XP 1,800; PB +3)
Traits
Freeze. If the elemental takes Cold damage, its Speed
decreases by 20 feet until the end of its next turn.
Water Form. The elemental can enter an enemyâ€™s space
and stop there. It can move through a space as narrow
as 1 inch without expending extra movement to do so.
Actions
Multiattack. The elemental makes two Slam attacks.
Slam. Melee Attack Roll: +7, reach 5 ft. Hit: 13 (2d8
+ 4) Bludgeoning damage. If the target is a Medium or
smaller creature, it has the Prone condition.
Whelm (Recharge 4â€“6). Strength Saving Throw: DC 15,
each creature in the elementalâ€™s space. Failure: 22 (4d8
+ 4) Bludgeoning damage. If the target is a Large or
smaller creature, it has the Grappled condition (escape
DC 14). Until the grapple ends, the target has the Re-
strained condition, is suffocating unless it can breathe
water, and takes 9 (2d8) Bludgeoning damage at the
start of each of the elementalâ€™s turns. The elemental
can grapple one Large creature or up to two Medium
or smaller creatures at a time with Whelm. As an ac-
tion, a creature within 5 feet of the elemental can pull
a creature out of it by succeeding on a DC 14 Strength
(Athletics) check. Success: Half damage only.</t>
  </si>
  <si>
    <t>Werebear</t>
  </si>
  <si>
    <t>Lycanthrope</t>
  </si>
  <si>
    <t>135 (18d8 + 54)</t>
  </si>
  <si>
    <t>Speed 30 ft., 40 ft. (bear form only), Climb 30 ft. (bear</t>
  </si>
  <si>
    <t>Handaxes (4)</t>
  </si>
  <si>
    <t>Common (canâ€™t speak in bear form)</t>
  </si>
  <si>
    <t>Werebear
Medium or Small Monstrosity (Lycanthrope), Neutral Good
AC 15		                      Initiative +3 (13)
HP 135 (18d8 + 54)
Speed 30 ft., 40 ft. (bear form only), Climb 30 ft. (bear
form only)
MOD SAVE             MOD SAVE             MOD SAVE
Str 19 +4 +4         Dex 10 +0 +0         Con 17 +3 +3
Int 11 +0 +0         Wis 12 +1 +1         Cha 12 +1 +1
Skills Perception +7
Gear Handaxes (4)
Senses Darkvision 60 ft.; Passive Perception 17
Languages Common (canâ€™t speak in bear form)
CR 5 (XP 1,800; PB +3)
Actions
Multiattack. The werebear makes two attacks, using
Handaxe or Rend in any combination. It can replace
one attack with a Bite attack.
Bite (Bear or Hybrid Form Only). Melee Attack Roll:
+7, reach 5 ft. Hit: 17 (2d12 + 4) Piercing damage. If
the target is a Humanoid, it is subjected to the follow-
ing effect. Constitution Saving Throw: DC 14. Failure:
The target is cursed. If the cursed target drops to 0 Hit
Points, it instead becomes a Werebear under the GMâ€™s
control and has 10 Hit Points. Success: The target is im-
mune to this werebearâ€™s curse for 24 hours.
Handaxe (Humanoid or Hybrid Form Only). Melee
or Ranged Attack Roll: +7, reach 5 ft or range 20/60 ft.
Hit: 14 (3d6 + 4) Slashing damage.
Rend (Bear or Hybrid Form Only). Melee Attack Roll:
+7, reach 5 ft. Hit: 13 (2d8 + 4) Slashing damage.
Bonus Actions
Shape-Shift. The werebear shape-shifts into a Large
bear-humanoid hybrid form or a Large bear, or it re-
turns to its true humanoid form. Its game statistics,
other than its size, are the same in each form. Any
equipment it is wearing or carrying isnâ€™t transformed.</t>
  </si>
  <si>
    <t>Wereboar</t>
  </si>
  <si>
    <t>Speed 30 ft., 40 ft. (boar form only)</t>
  </si>
  <si>
    <t>Javelins (6)</t>
  </si>
  <si>
    <t>Common (canâ€™t speak in boar form)</t>
  </si>
  <si>
    <t>Wereboar
Medium or Small Monstrosity (Lycanthrope), Neutral Evil
AC 15		                      Initiative +2 (12)
HP 97 (15d8 + 30)
Speed 30 ft., 40 ft. (boar form only)
MOD SAVE              MOD SAVE          MOD SAVE
Str 17 +3 +3          Dex 10 +0 +0          Con 15 +2 +2
Int 10 +0 +0          Wis 11 +0 +0          Cha 8 âˆ’1 âˆ’1
Skills Perception +2
Gear Javelins (6)
Senses Passive Perception 12
Languages Common (canâ€™t speak in boar form)
CR 4 (XP 1,100; PB +2)
Actions
Multiattack. The wereboar makes two attacks, using
Javelin or Tusk in any combination. It can replace one
attack with a Gore attack.
Gore (Boar or Hybrid Form Only). Melee Attack Roll:
+5, reach 5 ft. Hit: 12 (2d8 + 3) Piercing damage. If
the target is a Humanoid, it is subjected to the follow-
ing effect. Constitution Saving Throw: DC 12. Failure:
The target is cursed. If the cursed target drops to 0 Hit
Points, it instead becomes a Wereboar under the GMâ€™s
control and has 10 Hit Points. Success: The target is im-
mune to this wereboarâ€™s curse for 24 hours.
Javelin (Humanoid or Hybrid Form Only). Melee or
Ranged Attack Roll: +5, reach 5 ft. or range 30/120 ft.
Hit: 13 (3d6 + 3) Piercing damage.
Tusk (Boar or Hybrid Form Only). Melee Attack Roll:
+5, reach 5 ft. Hit: 10 (2d6 + 3) Piercing damage. If the
target is a Medium or smaller creature and the were-
boar moved 20+ feet straight toward it immediately
before the hit, the target takes an extra 7 (2d6) Piercing
damage and has the Prone condition.
Bonus Actions
Shape-Shift. The wereboar shape-shifts into a Medium
boar-humanoid hybrid or a Small boar, or it returns to
its true humanoid form. Its game statistics, other than
its size, are the same in each form. Any equipment it is
wearing or carrying isnâ€™t transformed.</t>
  </si>
  <si>
    <t>Wererat</t>
  </si>
  <si>
    <t>60 (11d8 + 11)</t>
  </si>
  <si>
    <t>Hand Crossbow</t>
  </si>
  <si>
    <t>Common (canâ€™t speak in rat form)</t>
  </si>
  <si>
    <t>Wererat
Medium or Small Monstrosity (Lycanthrope), Lawful Evil
AC 13		                    Initiative +3 (13)
HP 60 (11d8 + 11)
Speed 30 ft., Climb 30 ft.
MOD SAVE             MOD SAVE           MOD SAVE
Str 10 +0 +0         Dex 16 +3 +3         Con 12 +1 +1
Int 11 +0 +0         Wis 10 +0 +0         Cha 8 âˆ’1 âˆ’1
Skills Perception +4, Stealth +5
Gear Hand Crossbow
Senses Darkvision 60 ft.; Passive Perception 14
Languages Common (canâ€™t speak in rat form)
CR 2 (XP 450; PB +2)
Actions
Multiattack. The wererat makes two attacks, using
Scratch or Hand Crossbow in any combination. It can
replace one attack with a Bite attack.
Bite (Rat or Hybrid Form Only). Melee Attack Roll:
+5, reach 5 ft. Hit: 8 (2d4 + 3) Piercing damage. If the
target is a Humanoid, it is subjected to the following
effect. Constitution Saving Throw: DC 11. Failure: The
target is cursed. If the cursed target drops to 0 Hit
Points, it instead becomes a Wererat under the GMâ€™s
control and has 10 Hit Points. Success: The target is im-
mune to this wereratâ€™s curse for 24 hours.
Scratch. Melee Attack Roll: +5, reach 5 ft. Hit: 6 (1d6
+ 3) Slashing damage.
Hand Crossbow (Humanoid or Hybrid Form Only).
Ranged Attack Roll: +5, range 30/120 ft. Hit: 6 (1d6
+ 3) Piercing damage.
Bonus Actions
Shape-Shift. The wererat shape-shifts into a Medium
rat-humanoid hybrid or a Small rat, or it returns to its
true humanoid form. Its game statistics, other than its
size, are the same in each form. Any equipment it is
wearing or carrying isnâ€™t transformed.</t>
  </si>
  <si>
    <t>Weretiger</t>
  </si>
  <si>
    <t>120 (16d8 + 48)</t>
  </si>
  <si>
    <t>Speed 30 ft., 40 ft. (tiger form only)</t>
  </si>
  <si>
    <t>Longbow</t>
  </si>
  <si>
    <t>Common (canâ€™t speak in tiger form)</t>
  </si>
  <si>
    <t>Weretiger
Medium or Small Monstrosity (Lycanthrope), Neutral
AC 12		                       Initiative +2 (12)
HP 120 (16d8 + 48)
Speed 30 ft., 40 ft. (tiger form only)
MOD SAVE              MOD SAVE          MOD SAVE
Str 17 +3 +3          Dex 15 +2 +2          Con 16 +3 +3
Int 10 +0 +0          Wis 13 +1 +1          Cha 11 +0 +0
Skills Perception +5, Stealth +4
Gear Longbow
Senses Darkvision 60 ft.; Passive Perception 15
Languages Common (canâ€™t speak in tiger form)
CR 4 (XP 1,100; PB +2)
Actions
Multiattack. The weretiger makes two attacks, using
Scratch or Longbow in any combination. It can replace
one attack with a Bite attack.
Bite (Tiger or Hybrid Form Only). Melee Attack Roll:
+5, reach 5 ft. Hit: 12 (2d8 + 3) Piercing damage. If
the target is a Humanoid, it is subjected to the follow-
ing effect. Constitution Saving Throw: DC 13. Failure:
The target is cursed. If the cursed target drops to 0 Hit
Points, it instead becomes a Weretiger under the GMâ€™s
control and has 10 Hit Points. Success: The target is im-
mune to this weretigerâ€™s curse for 24 hours.
Scratch. Melee Attack Roll: +5, reach 5 ft. Hit: 10 (2d6
+ 3) Slashing damage.
Longbow (Humanoid or Hybrid Form Only). Ranged
Attack Roll: +4, range 150/600 ft. Hit: 11 (2d8 + 2)
Piercing damage.
Bonus Actions
Prowl (Tiger or Hybrid Form Only). The weretiger
moves up to its Speed without provoking Opportunity
Attacks. At the end of this movement, the weretiger can
take the Hide action.
Shape-Shift. The weretiger shape-shifts into a Large
tiger-humanoid hybrid or a Large tiger, or it returns to
its true humanoid form. Its game statistics, other than
its size, are the same in each form. Any equipment it is
wearing or carrying isnâ€™t transformed.</t>
  </si>
  <si>
    <t>Werewolf</t>
  </si>
  <si>
    <t>71 (11d8 + 22)</t>
  </si>
  <si>
    <t>Speed 30 ft., 40 ft. (wolf form only)</t>
  </si>
  <si>
    <t>Common (canâ€™t speak in wolf form)</t>
  </si>
  <si>
    <t>Werewolf
Medium or Small Monstrosity (Lycanthrope), Chaotic Evil
AC 15		                      Initiative +4 (14)
HP 71 (11d8 + 22)
Speed 30 ft., 40 ft. (wolf form only)
MOD SAVE
Str 16 +3 +3
MOD SAVE
Dex 14 +2 +2          Con 14 +2 +2
MOD SAVE
Int 10 +0 +0         Wis 11 +0 +0          Cha 10 +0 +0
Skills Perception +4, Stealth +4
Gear Longbow
Senses Darkvision 60 ft.; Passive Perception 14
Languages Common (canâ€™t speak in wolf form)
CR 3 (XP 700; PB +2)
Traits
Pack Tactics. The werewolf has Advantage on an attack
roll against a creature if at least one of the werewolfâ€™s
allies is within 5 feet of the creature and the ally doesnâ€™t
have the Incapacitated condition.
Actions
Multiattack. The werewolf makes two attacks, using
Scratch or Longbow in any combination. It can replace
one attack with a Bite attack.
Bite (Wolf or Hybrid Form Only). Melee Attack Roll:
+5, reach 5 ft. Hit: 12 (2d8 + 3) Piercing damage. If
the target is a Humanoid, it is subjected to the follow-
ing effect. Constitution Saving Throw: DC 12. Failure:
The target is cursed. If the cursed target drops to 0 Hit
Points, it instead becomes a Werewolf under the GMâ€™s
control and has 10 Hit Points. Success: The target is im-
mune to this werewolfâ€™s curse for 24 hours.
Scratch. Melee Attack Roll: +5, reach 5 ft. Hit: 10 (2d6
+ 3) Slashing damage.
Longbow (Humanoid or Hybrid Form Only). Ranged
Attack Roll: +4, range 150/600 ft. Hit: 11 (2d8 + 2)
Piercing damage.
Bonus Actions
Shape-Shift. The werewolf shape-shifts into a Large
wolf-humanoid hybrid or a Medium wolf, or it returns
to its true humanoid form. Its game statistics, other than
its size, are the same in each form. Any equipment it is
wearing or carrying isnâ€™t transformed.</t>
  </si>
  <si>
    <t>White Dragon Wyrmling</t>
  </si>
  <si>
    <t>White Dragons</t>
  </si>
  <si>
    <t>Speed 30 ft., Burrow 15 ft., Fly 60 ft., Swim 30 ft.</t>
  </si>
  <si>
    <t>White Dragon Wyrmling
Medium Dragon (Chromatic), Chaotic Evil
AC 16		                     Initiative +2 (12)
HP 32 (5d8 + 10)
Speed 30 ft., Burrow 15 ft., Fly 60 ft., Swim 30 ft.
MOD SAVE
Str 14 +2 +2
MOD SAVE
Dex 10 +0 +2          Con 14 +2 +2
MOD SAVE
Int 5 âˆ’3 âˆ’3          Wis 10 +0 +2          Cha 11 +0 +0
Skills Perception +4, Stealth +2
Immunities Cold
Senses Blindsight 10 ft., Darkvision 60 ft.;
Passive Perception 14
Languages Draconic
CR 2 (450 XP; PB +2)
Traits
Ice Walk. The dragon can move across and climb icy
surfaces without needing to make an ability check.
Additionally, Difficult Terrain composed of ice or snow
doesnâ€™t cost it extra movement.
Actions
Multiattack. The dragon makes two Rend attacks.
Rend. Melee Attack Roll: +4, reach 5 ft. Hit: 6 (1d8 + 2)
Slashing damage plus 2 (1d4) Cold damage.
Cold Breath (Recharge 5â€“6). Constitution Saving
Throw: DC 12, each creature in a 15-foot Cone. Failure:
22 (5d8) Cold damage. Success: Half damage.</t>
  </si>
  <si>
    <t>Young White Dragon</t>
  </si>
  <si>
    <t>Speed 40 ft., Burrow 20 ft., Fly 80 ft., Swim 40 ft.</t>
  </si>
  <si>
    <t>Perception +6, Stealth +3</t>
  </si>
  <si>
    <t>Young White Dragon
Large Dragon (Chromatic), Chaotic Evil
AC 17		                    Initiative +3 (13)
HP 123 (13d10 + 52)
Speed 40 ft., Burrow 20 ft., Fly 80 ft., Swim 40 ft.
MOD SAVE             MOD SAVE                MOD SAVE
Str 18 +4 +4         Dex 10 +0 +3          Con 18 +4 +4
Int 6 âˆ’2 2           Wis 11 +0 +3          Cha 12 +1 +1
Skills Perception +6, Stealth +3
Immunities Cold
Senses Blindsight 30 ft., Darkvision 120 ft.;
Passive Perception 16
Languages Common, Draconic
CR 6 (2,300 XP; PB +3)
Traits
Ice Walk. The dragon can move across and climb icy
surfaces without needing to make an ability check.
Additionally, Difficult Terrain composed of ice or snow
doesnâ€™t cost it extra movement.
Actions
Multiattack. The dragon makes three Rend attacks.
Rend. Melee Attack Roll: +7, reach 10 ft. Hit: 9 (2d4
+ 4) Slashing damage plus 2 (1d4) Cold damage.
Cold Breath (Recharge 5â€“6). Constitution Saving
Throw: DC 15, each creature in a 30-foot Cone. Failure:
40 (9d8) Cold damage. Success: Half damage.</t>
  </si>
  <si>
    <t>Adult White Dragon</t>
  </si>
  <si>
    <t>Speed 40 ft., Burrow 30 ft., Fly 80 ft., Swim 40 ft.</t>
  </si>
  <si>
    <t>Perception +11, Stealth +5</t>
  </si>
  <si>
    <t>Adult White Dragon
Huge Dragon (Chromatic), Chaotic Evil
AC 18		                    Initiative +10 (20)
HP 200 (16d12 + 96)
Speed 40 ft., Burrow 30 ft., Fly 80 ft., Swim 40 ft.
MOD SAVE             MOD SAVE                MOD SAVE
Str 22 +6 +6         Dex 10 +0 +5         Con22 +6 +6
Int 8 âˆ’1 âˆ’1          Wis 12 +1 +6         Cha 12 +1 +1
Skills Perception +11, Stealth +5
Immunities Cold
Senses Blindsight 60 ft., Darkvision 120 ft.;
Passive Perception 21
Languages Common, Draconic
CR 13 (XP 10,000, or 11,500 in lair; PB +5)
Traits
Ice Walk. The dragon can move across and climb icy
surfaces without needing to make an ability check.
Additionally, Difficult Terrain composed of ice or snow
doesnâ€™t cost it extra movement.
Legendary Resistance (3/Day, or 4/Day in Lair). If
the dragon fails a saving throw, it can choose to suc-
ceed instead.
Actions
Multiattack. The dragon makes three Rend attacks.
Rend. Melee Attack Roll: +11, reach 10 ft. Hit: 13 (2d6
+ 6) Slashing damage plus 4 (1d8) Cold damage.
Cold Breath (Recharge 5â€“6). Constitution Saving
Throw: DC 19, each creature in a 60-foot Cone. Failure:
54 (12d8) Cold damage. Success: Half damage.
Legendary Actions
Legendary Action Uses: 3 (4 in Lair). Immediately after
another creatureâ€™s turn, the dragon can expend a use to
take one of the following actions. The dragon regains all
expended uses at the start of each of its turns.
Freezing Burst. Constitution Saving Throw: DC 14,
each creature in a 30-foot-radius Sphere centered on
a point the dragon can see within 120 feet. Failure: 7
(2d6) Cold damage, and the targetâ€™s Speed is 0 until
the end of the targetâ€™s next turn. Failure or Success: The
dragon canâ€™t take this action again until the start of its
next turn.
Frightful Presence. The dragon casts Fear, requiring no
Material components and using Charisma as the spell-
casting ability (spell save DC 14). The dragon canâ€™t take
this action again until the start of its next turn.
Pounce. The dragon moves up to half its Speed, and it
makes one Rend attack.</t>
  </si>
  <si>
    <t>Ancient White Dragon</t>
  </si>
  <si>
    <t>333 (18d20 + 144)</t>
  </si>
  <si>
    <t>Speed 40 ft., Burrow 40 ft., Fly 80 ft., Swim 40 ft.</t>
  </si>
  <si>
    <t>Ancient White Dragon
Gargantuan Dragon (Chromatic), Chaotic Evil
AC 20		                    Initiative +12 (22)
HP 333 (18d20 + 144)
Speed 40 ft., Burrow 40 ft., Fly 80 ft., Swim 40 ft.
MOD SAVE             MOD SAVE                MOD SAVE
Str 26 +8 +8         Dex 10 +0 +6         Con 26 +8 +8
Int 10 +0 +0         Wis 13 +1 +7         Cha 18 +4 +4
Skills Perception +13, Stealth +6
Immunities Cold
Senses Blindsight 60 ft., Darkvision 120 ft.;
Passive Perception 23
Languages Common, Draconic
CR 20 (XP 25,000, or 33,000 in lair; PB +6)
Traits
Ice Walk. The dragon can move across and climb icy
surfaces without needing to make an ability check.
Additionally, Difficult Terrain composed of ice or snow
doesnâ€™t cost it extra movement.
Legendary Resistance (4/Day, or 5/Day in Lair). If
the dragon fails a saving throw, it can choose to suc-
ceed instead.
Actions
Multiattack. The dragon makes three Rend attacks.
Rend. Melee Attack Roll: +14, reach 15 ft. Hit: 17 (2d8
+ 8) Slashing damage plus 7 (2d6) Cold damage.
Cold Breath (Recharge 5â€“6). Constitution Saving
Throw: DC 22, each creature in a 90-foot Cone. Fail-
ure: 63 (14d8) Cold damage. Success: Half damage.
Legendary Actions
Legendary Action Uses: 3 (4 in Lair). Immediately after
another creatureâ€™s turn, the dragon can expend a use to
take one of the following actions. The dragon regains all
expended uses at the start of each of its turns.
Freezing Burst. Constitution Saving Throw: DC 20,
each creature in a 30-foot-radius Sphere centered on
a point the dragon can see within 120 feet. Failure: 14
(4d6) Cold damage, and the targetâ€™s Speed is 0 until
the end of the targetâ€™s next turn. Failure or Success: The
dragon canâ€™t take this action again until the start of its
next turn.
Frightful Presence. The dragon casts Fear, requiring no
Material components and using Charisma as the spell-
casting ability (spell save DC 18). The dragon canâ€™t take
this action again until the start of its next turn.
Pounce. The dragon moves up to half its Speed, and it
makes one Rend attack.</t>
  </si>
  <si>
    <t>Wight</t>
  </si>
  <si>
    <t>Perception +3, Stealth +4</t>
  </si>
  <si>
    <t>Wight
Medium Undead, Neutral Evil
AC 14		                     Initiative +4 (14)
HP 82 (11d8 + 33)
Speed 30 ft.
MOD SAVE              MOD SAVE          MOD SAVE
Str 15 +2 +2          Dex 14 +2 +2         Con 16 +3 +3
Int 10 +0 +0          Wis 13 +1 +1         Cha 15 +2 +2
Skills Perception +3, Stealth +4
Resistances Necrotic
Immunities Poison; Exhaustion, Poisoned
Gear Studded Leather Armor
Senses Darkvision 60 ft.; Passive Perception 13
Languages Common plus one other language
CR 3 (XP 700; PB +2)
Traits
Sunlight Sensitivity. While in sunlight, the wight has
Disadvantage on ability checks and attack rolls.
Actions
Multiattack. The wight makes two attacks, using Ne-
crotic Sword or Necrotic Bow in any combination. It
can replace one attack with a use of Life Drain.
Necrotic Sword. Melee Attack Roll: +4, reach 5 ft.
Hit: 6 (1d8 + 2) Slashing damage plus 4 (1d8) Ne-
crotic damage.
Necrotic Bow. Ranged Attack Roll: +4, range
150/600 ft. Hit: 6 (1d8 + 2) Piercing damage plus 4
(1d8) Necrotic damage.
Life Drain. Constitution Saving Throw: DC 13, one
creature within 5 feet. Failure: 6 (1d8 + 2) Necrotic
damage, and the targetâ€™s Hit Point maximum decreases
by an amount equal to the damage taken.
A Humanoid slain by this attack rises 24 hours later
as a Zombie under the wightâ€™s control, unless the Hu-
manoid is restored to life or its body is destroyed. The
wight can have no more than twelve zombies under its
control at a time.</t>
  </si>
  <si>
    <t>Will-oâ€™-Wisp</t>
  </si>
  <si>
    <t>27 (11d4)</t>
  </si>
  <si>
    <t>Acid, Bludgeoning, Cold, Fire, Necrotic, Piercing, Slashing</t>
  </si>
  <si>
    <t>Lightning, Poison; Exhaustion, Grappled, Paralyzed, Petrified, Poisoned, Prone, Restrained, Unconscious</t>
  </si>
  <si>
    <t>Will-oâ€™-Wisp
Tiny Undead, Chaotic Evil
AC 19		                      Initiative +9 (19)
HP 27 (11d4)
Speed 5 ft., Fly 50 ft. (hover)
MOD SAVE            MOD SAVE            MOD SAVE
Str 1 âˆ’5 âˆ’5          Dex 28 +9 +9         Con 10 +0 +0
Int 13 +1 +1         Wis 14 +2 +2         Cha 11 +0 +0
Resistances Acid, Bludgeoning, Cold, Fire, Necrotic,
Piercing, Slashing
Immunities Lightning, Poison; Exhaustion, Grappled,
Paralyzed, Petrified, Poisoned, Prone, Restrained,
Unconscious
Senses Darkvision 120 ft.; Passive Perception 12
Languages Common plus one other language
CR 2 (XP 450; PB +2)
Traits
Ephemeral. The wisp canâ€™t wear or carry anything.
Illumination. The wisp sheds Bright Light in a 20-foot
radius and Dim Light for an additional 20 feet.
Incorporeal Movement. The wisp can move through
other creatures and objects as if they were Difficult
Terrain. It takes 5 (1d10) Force damage if it ends its turn
inside an object.
Actions
Shock. Melee Attack Roll: +4, reach 5 ft. Hit: 11 (2d8
+ 2) Lightning damage.
Bonus Actions
Consume Life. Constitution Saving Throw: DC 10, one
living creature the wisp can see within 5 feet that has 0
Hit Points. Failure: The target dies, and the wisp regains
10 (3d6) Hit Points.
Vanish. The wisp and its light have the Invisible condi-
tion until the wispâ€™s Concentration ends on this effect,
which ends early immediately after the wisp makes an
attack roll or uses Consume Life.</t>
  </si>
  <si>
    <t>Winter Wolf</t>
  </si>
  <si>
    <t>75 (10d10 + 20)</t>
  </si>
  <si>
    <t>Winter Wolf
Large Monstrosity, Neutral Evil
AC 13		                    Initiative +1 (11)
HP 75 (10d10 + 20)
Speed 50 ft.
MOD SAVE            MOD SAVE            MOD SAVE
Str 18 +4 +4         Dex 13 +1 +1         Con 14 +2 +2
Int 7 âˆ’2 âˆ’2          Wis 12 +1 +1         Cha 8 âˆ’1 âˆ’1
Skills Perception +5, Stealth +5
Immunities Cold
Senses Passive Perception 15
Languages Common, Giant
CR 3 (XP 700; PB +2)
Traits
Pack Tactics. The wolf has Advantage on an attack roll
against a creature if at least one of the wolfâ€™s allies is
within 5 feet of the creature and the ally doesnâ€™t have
the Incapacitated condition.
Actions
Bite. Melee Attack Roll: +6, reach 5 ft. Hit: 11 (2d6 + 4)
Piercing damage. If the target is a Large or smaller crea-
ture, it has the Prone condition.
Cold Breath (Recharge 5â€“6). Constitution Saving
Throw: DC 12, each creature in a 15-foot Cone. Failure:
18 (4d8) Cold damage. Success: Half damage.</t>
  </si>
  <si>
    <t>Worg</t>
  </si>
  <si>
    <t>Goblin, Worg</t>
  </si>
  <si>
    <t>Worg
Large Fey, Neutral Evil
AC 13		                      Initiative +1 (11)
HP 26 (4d10 + 4)
Speed 50 ft.
MOD SAVE              MOD SAVE          MOD SAVE
Str 16 +3 +3          Dex 13 +1 +1          Con 13 +1 +1
Int 7 âˆ’2 âˆ’2           Wis 11 +0 +0          Cha 8 âˆ’1 âˆ’1
Skills Perception +4
Senses Darkvision 60 ft.; Passive Perception 14
Languages Goblin, Worg
CR 1/2 (XP 100; PB +2)
Actions
Bite. Melee Attack Roll: +5, reach 5 ft. Hit: 7 (1d8 + 3)
Piercing damage, and the next attack roll made against
the target before the start of the worgâ€™s next turn has
Advantage.</t>
  </si>
  <si>
    <t>Wraith</t>
  </si>
  <si>
    <t>Speed 5 ft., Fly 60 ft. (hover)</t>
  </si>
  <si>
    <t>Acid, Bludgeoning, Cold, Fire, Piercing, Slashing</t>
  </si>
  <si>
    <t>Wraith
Medium or Small Undead, Neutral Evil
AC 13		                      Initiative +3 (13)
HP 67 (9d8 + 27)
Speed 5 ft., Fly 60 ft. (hover)
MOD SAVE              MOD SAVE          MOD SAVE
Str 6 âˆ’2 âˆ’2           Dex 16 +3 +3          Con 16 +3 +3
Int 12 +1 +1          Wis 14 +2 +2          Cha 15 +2 +2
Resistances Acid, Bludgeoning, Cold, Fire, Piercing,
Slashing
Immunities Necrotic, Poison; Charmed, Exhaustion,
Grappled, Paralyzed, Petrified, Poisoned, Prone,
Restrained, Unconscious
Senses Darkvision 60 ft.; Passive Perception 12
Languages Common plus two other languages
CR 5 (XP 1,800; PB +3)
Traits
Incorporeal Movement. The wraith can move through
other creatures and objects as if they were Difficult
Terrain. It takes 5 (1d10) Force damage if it ends its turn
inside an object.
Sunlight Sensitivity. While in sunlight, the wraith has
Disadvantage on ability checks and attack rolls.
Actions
Life Drain. Melee Attack Roll: +6, reach 5 ft. Hit: 21
(4d8 + 3) Necrotic damage. If the target is a creature, its
Hit Point maximum decreases by an amount equal to
the damage taken.
Create Specter. The wraith targets a Humanoid corpse
within 10 feet of itself that has been dead for no longer
than 1 minute. The targetâ€™s spirit rises as a Specter in
the space of its corpse or in the nearest unoccupied
space. The specter is under the wraithâ€™s control. The
wraith can have no more than seven specters under its
control at a time.</t>
  </si>
  <si>
    <t>Wyvern</t>
  </si>
  <si>
    <t>Darkvision 120 ft.; Passive Perception 14</t>
  </si>
  <si>
    <t>Wyvern
Large Dragon, Unaligned
AC 14		                     Initiative +0 (10)
HP 127 (15d10 + 45)
Speed 30 ft., Fly 80 ft.
MOD SAVE             MOD SAVE            MOD SAVE
Str 19 +4 +4          Dex 10 +0 +0        Con 16 +3 +3
Int 5 âˆ’3 âˆ’3           Wis 12 +1 +1        Cha 6 âˆ’2 âˆ’2
Skills Perception +4
Senses Darkvision 120 ft.; Passive Perception 14
Languages None
CR 6 (XP 2,300; PB +3)
Actions
Multiattack. The wyvern makes one Bite attack and
one Sting attack.
Bite. Melee Attack Roll: +7, reach 5 ft. Hit: 13 (2d8 + 4)
Piercing damage.
Sting. Melee Attack Roll: +7, reach 10 ft. Hit: 11 (2d6
+ 4) Piercing damage plus 24 (7d6) Poison damage, and
the target has the Poisoned condition until the start of
the wyvernâ€™s next turn.</t>
  </si>
  <si>
    <t>Xorn</t>
  </si>
  <si>
    <t>84 (8d8 + 48)</t>
  </si>
  <si>
    <t>Speed 20 ft., Burrow 20 ft.</t>
  </si>
  <si>
    <t>Perception +6, Stealth +6</t>
  </si>
  <si>
    <t>Poison; Paralyzed, Petrified, Poisoned</t>
  </si>
  <si>
    <t>Darkvision 60 ft., Tremorsense 60 ft.; Passive Perception 16</t>
  </si>
  <si>
    <t>Xorn
Medium Elemental, Neutral
AC 19		                     Initiative +0 (10)
HP 84 (8d8 + 48)
Speed 20 ft., Burrow 20 ft.
MOD SAVE            MOD SAVE              MOD SAVE
Str 17 +3 +3         Dex 10 +0 +0        Con 22 +6 +6
Int 11 +0 +0         Wis 10 +0 +0        Cha 11 +0 +0
Skills Perception +6, Stealth +6
Immunities Poison; Paralyzed, Petrified, Poisoned
Senses Darkvision 60 ft., Tremorsense 60 ft.;
Passive Perception 16
Languages Primordial (Terran)
CR 5 (XP 1,800; PB +3)
Traits
Earth Glide. The xorn can burrow through nonmagical,
unworked earth and stone. While doing so, the xorn
doesnâ€™t disturb the material it moves through.
Treasure Sense. The xorn can pinpoint the location of
precious metals and stones within 60 feet of itself.
Actions
Multiattack. The xorn makes one Bite attack and three
Claw attacks.
Bite. Melee Attack Roll: +6, reach 5 ft. Hit: 17 (4d6 + 3)
Piercing damage.
Claw. Melee Attack Roll: +6, reach 5 ft. Hit: 8 (1d10 +
3) Slashing damage.
Bonus Actions
Charge. The xorn moves up to its Speed or Burrow
Speed straight toward an enemy it can sense.</t>
  </si>
  <si>
    <t>Zombie</t>
  </si>
  <si>
    <t>Zombies</t>
  </si>
  <si>
    <t>15 (2d8 + 6)</t>
  </si>
  <si>
    <t>Zombie
Medium Undead, Neutral Evil
AC 8 		                    Initiative âˆ’2 (8)
HP 15 (2d8 + 6)
Speed 20 ft.
MOD SAVE            MOD SAVE              MOD SAVE
Str 13 +1 +1         Dex 6 âˆ’2 âˆ’2         Con 16 +3 +3
Int 3 âˆ’4 âˆ’4          Wis 6 âˆ’2 +0         Cha 5 âˆ’3 âˆ’3
Immunities Poison; Exhaustion, Poisoned
Senses Darkvision 60 ft.; Passive Perception 8
Languages Understands Common plus one other language
but canâ€™t speak
CR 1/4 (XP 50; PB +2)
Traits
Undead Fortitude. If damage reduces the zombie to 0
Hit Points, it makes a Constitution saving throw (DC 5
plus the damage taken) unless the damage is Radiant or
from a Critical Hit. On a successful save, the zombie
drops to 1 Hit Point instead.
Actions
Slam. Melee Attack Roll: +3, reach 5 ft. Hit: 5 (1d8 + 1)
Bludgeoning damage.</t>
  </si>
  <si>
    <t>Ogre Zombie</t>
  </si>
  <si>
    <t>85 (9d10 + 36)</t>
  </si>
  <si>
    <t>Understands Common and Giant but canâ€™t speak</t>
  </si>
  <si>
    <t>Ogre Zombie
Large Undead, Neutral Evil
AC 8		                       Initiative âˆ’2 (8)
HP 85 (9d10 + 36)
Speed 30 ft.
MOD SAVE              MOD SAVE          MOD SAVE
Str 19 +4 +4         Dex 6 âˆ’2 âˆ’2            Con 18 +4 +4
Int 3 âˆ’4 âˆ’4          Wis 6 âˆ’2 +0            Cha 5 âˆ’3 âˆ’3
Immunities Poison; Exhaustion, Poisoned
Senses Darkvision 60 ft.; Passive Perception 8
Languages Understands Common and Giant but canâ€™t
speak
CR 2 (XP 450; PB +2)
Traits
Undead Fortitude. If damage reduces the zombie to 0
Hit Points, it makes a Constitution saving throw (DC 5
plus the damage taken) unless the damage is Radiant or
from a Critical Hit. On a successful save, the zombie
drops to 1 Hit Point instead.
Actions
Slam. Melee Attack Roll: +6, reach 5 ft. Hit: 13 (2d8
+ 4) Bludgeoning damage.</t>
  </si>
  <si>
    <t>Allosaurus</t>
  </si>
  <si>
    <t>Animals</t>
  </si>
  <si>
    <t>Beast</t>
  </si>
  <si>
    <t>Dinosaur</t>
  </si>
  <si>
    <t>51 (6d10 + 18)</t>
  </si>
  <si>
    <t>Allosaurus
Large Beast (Dinosaur), Unaligned
AC 13 		                     Initiative +1 (11)
HP 51 (6d10 + 18)
Speed 60 ft.
MOD SAVE              MOD SAVE          MOD SAVE
Str 19 +4 +4         Dex 13 +1 +1           Con 17 +3 +3
Int 2 âˆ’4 âˆ’4          Wis 12 +1 +1           Cha 5 âˆ’3 âˆ’3
Skills Perception +5
Senses Passive Perception 15
Languages None
CR 2 (XP 450; PB +2)
Actions
Bite. Melee Attack Roll: +6, reach 5 ft. Hit: 15 (2d10 +
4) Piercing damage.
Claws. Melee Attack Roll: +6, reach 5 ft. Hit: 8 (1d8
+ 4) Slashing damage. If the target is a Large or smaller
creature and the allosaurus moved 30+ feet straight
toward it immediately before the hit, the target has the
Prone condition, and the allosaurus can make one Bite
attack against it.</t>
  </si>
  <si>
    <t>Ankylosaurus</t>
  </si>
  <si>
    <t>68 (8d12 + 16)</t>
  </si>
  <si>
    <t>Ankylosaurus
Huge Beast (Dinosaur), Unaligned
AC 15 		Initiative +0 (10)
HP 68 (8d12 + 16)
Speed 30 ft.
MOD SAVE             MOD SAVE           MOD SAVE
Str 19 +4 +6         Dex 11 +0 +0         Con 15 +2 +2
Int 2 âˆ’4 âˆ’4          Wis 12 +1 +1         Cha 5 âˆ’3 âˆ’3
Senses Passive Perception 11
Languages None
CR 3 (XP 700; PB +2)
Actions
Multiattack. The ankylosaurus makes two Tail attacks.
Tail. Melee Attack Roll: +6, reach 10 ft. Hit: 9 (1d10
+ 4) Bludgeoning damage. If the target is a Huge or
smaller creature, it has the Prone condition.</t>
  </si>
  <si>
    <t>Ape</t>
  </si>
  <si>
    <t>19 (3d8 + 6)</t>
  </si>
  <si>
    <t>Athletics +5, Perception +3</t>
  </si>
  <si>
    <t>Ape
Medium Beast, Unaligned
AC 12		                    Initiative +2 (12)
HP 19 (3d8 + 6)
Speed 30 ft., Climb 30 ft.
MOD SAVE             MOD SAVE           MOD SAVE
Str 16 +3 +3         Dex 14 +2 +2         Con 14 +2 +2
Int 6 âˆ’2 âˆ’2          Wis 12 +1 +1         Cha 7 âˆ’2 âˆ’2
Skills Athletics +5, Perception +3
Senses Passive Perception 13
Languages None
CR 1/2 (XP 100; PB +2)
Actions
Multiattack. The ape makes two Fist attacks.
Fist. Melee Attack Roll: +5, reach 5 ft. Hit: 5 (1d4 + 3)
Bludgeoning damage.
Rock (Recharge 6). Ranged Attack Roll: +5, range
25/50 ft. Hit: 10 (2d6 + 3) Bludgeoning damage.</t>
  </si>
  <si>
    <t>Archelon</t>
  </si>
  <si>
    <t>90 (12d12 + 12)</t>
  </si>
  <si>
    <t>Speed 20 ft., Swim 80 ft.</t>
  </si>
  <si>
    <t>Archelon
Huge Beast (Dinosaur), Unaligned
AC 17 		                  Initiative +3 (13)
HP 90 (12d12 + 12)
Speed 20 ft., Swim 80 ft.
MOD SAVE             MOD SAVE            MOD SAVE
Str 18 +4 +4         Dex 16 +3 +3         Con 13 +1 +1
Int 4 âˆ’3 âˆ’3          Wis 14 +2 +2         Cha 6 âˆ’2 âˆ’2
Skills Stealth +5
Senses Passive Perception 12
Languages None
CR 4 (XP 1,100; PB +2)
Traits
Amphibious. The archelon can breathe air and water.
Actions
Multiattack. The archelon makes two Bite attacks.
Bite. Melee Attack Roll: +6, reach 5 ft. Hit: 14 (3d6 + 4)
Piercing damage.</t>
  </si>
  <si>
    <t>Baboon</t>
  </si>
  <si>
    <t>3 (1d6)</t>
  </si>
  <si>
    <t>Baboon
Small Beast, Unaligned
AC 12 		                   Initiative +2 (12)
HP 3 (1d6)
Speed 30 ft., Climb 30 ft.
MOD SAVE             MOD SAVE            MOD SAVE
Str 8 âˆ’1 âˆ’1          Dex 14 +2 +2         Con 11 +0 +0
Int 4 âˆ’3 âˆ’3          Wis 12 +1 +1         Cha 6 âˆ’2 âˆ’2
Senses Passive Perception 11
Languages None
CR 0 (XP 10; PB +2)
Traits
Pack Tactics. The baboon has Advantage on an attack
roll against a creature if at least one of the baboonâ€™s
allies is within 5 feet of the creature and the ally doesnâ€™t
have the Incapacitated condition.
Actions
Bite. Melee Attack Roll: +1, reach 5 ft. Hit: 1 (1d4 âˆ’ 1)
Piercing damage.</t>
  </si>
  <si>
    <t>Badger</t>
  </si>
  <si>
    <t>5 (1d4 + 3)</t>
  </si>
  <si>
    <t>Speed 20 ft., Burrow 5 ft.</t>
  </si>
  <si>
    <t>Perception +3</t>
  </si>
  <si>
    <t>Darkvision 30 ft.; Passive Perception 13</t>
  </si>
  <si>
    <t>Badger
Tiny Beast, Unaligned
AC 11 		                   Initiative +0 (10)
HP 5 (1d4 + 3)
Speed 20 ft., Burrow 5 ft.
MOD SAVE             MOD SAVE            MOD SAVE
Str 10 +0 +0         Dex 11 +0 +0         Con 16 +3 +3
Int 2 âˆ’4 âˆ’4          Wis 12 +1 +1         Cha 5 âˆ’3 âˆ’3
Skills Perception +3
Resistances Poison
Senses Darkvision 30 ft.; Passive Perception 13
Languages None
CR 0 (XP 10; PB +2)
Actions
Bite. Melee Attack Roll: +2, reach 5 ft. Hit: 1 Piercing
damage.</t>
  </si>
  <si>
    <t>Bat</t>
  </si>
  <si>
    <t>1 (1d4 âˆ’ 1)</t>
  </si>
  <si>
    <t>Speed 5 ft., Fly 30 ft.</t>
  </si>
  <si>
    <t>Blindsight 60 ft.; Passive Perception 11</t>
  </si>
  <si>
    <t>Bat
Tiny Beast, Unaligned
AC 12		                     Initiative +2 (12)
HP 1 (1d4 âˆ’ 1)
Speed 5 ft., Fly 30 ft.
MOD SAVE              MOD SAVE          MOD SAVE
Str 2 âˆ’4 âˆ’4           Dex 15 +2 +2         Con 8 âˆ’1 âˆ’1
Int 2 âˆ’4 âˆ’4           Wis 12 +1 +1         Cha 4 âˆ’3 âˆ’3
Senses Blindsight 60 ft.; Passive Perception 11
Languages None
CR 0 (XP 10; PB +2)
Actions
Bite. Melee Attack Roll: +4, reach 5 ft. Hit: 1 Piercing
damage.</t>
  </si>
  <si>
    <t>Black Bear</t>
  </si>
  <si>
    <t>Speed 30 ft., Climb 30 ft., Swim 30 ft.</t>
  </si>
  <si>
    <t>Black Bear
Medium Beast, Unaligned
AC 11		                     Initiative +1 (11)
HP 19 (3d8 + 6)
Speed 30 ft., Climb 30 ft., Swim 30 ft.
MOD SAVE              MOD SAVE          MOD SAVE
Str 15 +2 +2          Dex 12 +1 +1         Con 14 +2 +2
Int 2 âˆ’4 âˆ’4           Wis 12 +1 +1         Cha 7 âˆ’2 âˆ’2
Skills Perception +5
Senses Darkvision 60 ft.; Passive Perception 15
Languages None
CR 1/2 (XP 100; PB +2)
Actions
Multiattack. The bear makes two Rend attacks.
Rend. Melee Attack Roll: +4, reach 5 ft. Hit: 5 (1d6 + 2)
Slashing damage.</t>
  </si>
  <si>
    <t>Blood Hawk</t>
  </si>
  <si>
    <t>Speed 10 ft., Fly 60 ft.</t>
  </si>
  <si>
    <t>Blood Hawk
Small Beast, Unaligned
AC 12 		                    Initiative +2 (12)
HP 7 (2d6)
Speed 10 ft., Fly 60 ft.
MOD SAVE              MOD SAVE          MOD SAVE
Str 6 âˆ’2 âˆ’2           Dex 14 +2 +2         Con 10 +0 +0
Int 3 âˆ’4 âˆ’4           Wis 14 +2 +2         Cha 5 âˆ’3 âˆ’3
Skills Perception +6
Senses Passive Perception 16
Languages None
CR 1/8 (XP 25; PB +2)
Traits
Pack Tactics. The hawk has Advantage on an attack roll
against a creature if at least one of the hawkâ€™s allies is
within 5 feet of the creature and the ally doesnâ€™t have
the Incapacitated condition.
Actions
Beak. Melee Attack Roll: +4, reach 5 ft. Hit: 4 (1d4 + 2)
Piercing damage, or 6 (1d8 + 2) Piercing damage if the
target is Bloodied.</t>
  </si>
  <si>
    <t>Boar</t>
  </si>
  <si>
    <t>Passive Perception 9</t>
  </si>
  <si>
    <t>Boar
Medium Beast, Unaligned
AC 11 		                   Initiative +0 (10)
HP 13 (2d8 + 4)
Speed 40 ft.
MOD SAVE             MOD SAVE           MOD SAVE
Str 13 +1 +1         Dex 11 +0 +0         Con 14 +2 +2
Int 2 âˆ’4 âˆ’4          Wis 9 âˆ’1 âˆ’1          Cha 5 âˆ’3 âˆ’3
Senses Passive Perception 9
Languages None
CR 1/4 (XP 50; PB +2)
Traits
Bloodied Fury. While Bloodied, the boar has Advan-
tage on attack rolls.
Actions
Gore. Melee Attack Roll: +3, reach 5 ft. Hit: 4 (1d6 + 1)
Piercing damage. If the target is a Medium or smaller
creature and the boar moved 20+ feet straight toward it
immediately before the hit, the target takes an extra 3
(1d6) Piercing damage and has the Prone condition.</t>
  </si>
  <si>
    <t>Brown Bear</t>
  </si>
  <si>
    <t>Speed 40 ft., Climb 30 ft.</t>
  </si>
  <si>
    <t>Brown Bear
Large Beast, Unaligned
AC 11		                    Initiative +1 (11)
HP 22 (3d10 + 6)
Speed 40 ft., Climb 30 ft.
MOD SAVE             MOD SAVE           MOD SAVE
Str 17 +3 +3         Dex 12 +1 +1         Con 15 +2 +2
Int 2 âˆ’4 âˆ’4          Wis 13 +1 +1         Cha 7 âˆ’2 âˆ’2
Skills Perception +3
Senses Darkvision 60 ft.; Passive Perception 13
Languages None
CR 1 (XP 200; PB +2)
Actions
Multiattack. The bear makes one Bite attack and one
Claw attack.
Bite. Melee Attack Roll: +5, reach 5 ft. Hit: 7 (1d8 + 3)
Piercing damage.
Claw. Melee Attack Roll: +5, reach 5 ft. Hit: 5 (1d4 + 3)
Slashing damage. If the target is a Large or smaller crea-
ture, it has the Prone condition.</t>
  </si>
  <si>
    <t>Camel</t>
  </si>
  <si>
    <t>17 (2d10 + 6)</t>
  </si>
  <si>
    <t>Camel
Large Beast, Unaligned
AC 10 		                    Initiative âˆ’1 (9)
HP 17 (2d10 + 6)
Speed 50 ft.
MOD SAVE             MOD SAVE           MOD SAVE
Str 15 +2 +2         Dex 8 âˆ’1 âˆ’1          Con 17 +3 +5
Int 2 âˆ’4 âˆ’4          Wis 11 +0 +0         Cha 5 âˆ’3 âˆ’3
Senses Darkvision 60 ft.; Passive Perception 10
Languages None
CR 1/8 (XP 25; PB +2)
Actions
Bite. Melee Attack Roll: +4, reach 5 ft. Hit: 4 (1d4 + 2)
Bludgeoning damage.</t>
  </si>
  <si>
    <t>Cat</t>
  </si>
  <si>
    <t>2 (1d4)</t>
  </si>
  <si>
    <t>Cat
Tiny Beast, Unaligned
AC 12 		                   Initiative +2 (12)
HP 2 (1d4)
Speed 40 ft., Climb 40 ft.
MOD SAVE             MOD SAVE           MOD SAVE
Str 3 âˆ’4 âˆ’4          Dex 15 +2 +4         Con 10 +0 +0
Int 3 âˆ’4 âˆ’4          Wis 12 +1 +1         Cha 7 âˆ’2 âˆ’2
Skills Perception +3, Stealth +4
Senses Darkvision 60 ft.; Passive Perception 13
Languages None
CR 0 (XP 10; PB +2)
Traits
Jumper. The catâ€™s jump distance is determined using its
Dexterity rather than its Strength.
Actions
Scratch. Melee Attack Roll: +4, reach 5 ft. Hit: 1 Slash-
ing damage.</t>
  </si>
  <si>
    <t>Constrictor Snake</t>
  </si>
  <si>
    <t>13 (2d10 + 2)</t>
  </si>
  <si>
    <t>Blindsight 10 ft.; Passive Perception 12</t>
  </si>
  <si>
    <t>Constrictor Snake
Large Beast, Unaligned
AC 13 		                  Initiative +2 (12)
HP 13 (2d10 + 2)
Speed 30 ft., Swim 30 ft.
MOD SAVE             MOD SAVE           MOD SAVE
Str 15 +2 +2         Dex 14 +2 +2         Con 12 +1 +1
Int 1 âˆ’5 âˆ’5          Wis 10 +0 +0         Cha 3 âˆ’4 âˆ’4
Skills Perception +2, Stealth +4
Senses Blindsight 10 ft.; Passive Perception 12
Languages None
CR 1/4 (XP 50; PB +2)
Actions
Bite. Melee Attack Roll: +4, reach 5 ft. Hit: 6 (1d8 + 2)
Piercing damage.
Constrict. Strength Saving Throw: DC 12, one Medium
or smaller creature the snake can see within 5 feet.
Failure: 7 (3d4) Bludgeoning damage, and the target has
the Grappled condition (escape DC 12).</t>
  </si>
  <si>
    <t>Crab</t>
  </si>
  <si>
    <t>3 (1d4 + 1)</t>
  </si>
  <si>
    <t>Blindsight 30 ft.; Passive Perception 9</t>
  </si>
  <si>
    <t>Crab
Tiny Beast, Unaligned
AC 11 		                  Initiative +0 (10)
HP 3 (1d4 + 1)
Speed 20 ft., Swim 20 ft.
MOD SAVE             MOD SAVE          MOD SAVE
Str 6 âˆ’2 âˆ’2          Dex 11 +0 +0         Con 12 +1 +1
Int 1 âˆ’5 âˆ’5          Wis 8 âˆ’1 âˆ’1          Cha 2 âˆ’4 âˆ’4
Skills Stealth +2
Senses Blindsight 30 ft.; Passive Perception 9
Languages None
CR 0 (XP 10; PB +2)
Traits
Amphibious. The crab can breathe air and water.
Actions
Claw. Melee Attack Roll: +2, reach 5 ft. Hit: 1 Blud-
geoning damage.</t>
  </si>
  <si>
    <t>Crocodile</t>
  </si>
  <si>
    <t>Speed 20 ft., Swim 30 ft.</t>
  </si>
  <si>
    <t>Crocodile
Large Beast, Unaligned
AC 12 		                  Initiative +0 (10)
HP 13 (2d10 + 2)
Speed 20 ft., Swim 30 ft.
MOD SAVE             MOD SAVE          MOD SAVE
Str 15 +2 +2         Dex 10 +0 +0         Con 13 +1 +3
Int 2 âˆ’4 âˆ’4          Wis 10 +0 +0         Cha 5 âˆ’3 âˆ’3
Skills Stealth +2
Senses Passive Perception 10
Languages None
CR 1/2 (XP 100; PB +2)
Traits
Hold Breath. The crocodile can hold its breath
for 1 hour.
Actions
Bite. Melee Attack Roll: +4, reach 5 ft. Hit: 6 (1d8
+ 2) Piercing damage. If the target is a Medium or
smaller creature, it has the Grappled condition (escape
DC 12). While Grappled, the target has the Restrained
condition.</t>
  </si>
  <si>
    <t>Deer</t>
  </si>
  <si>
    <t>Deer
Medium Beast, Unaligned
AC 13 		                   Initiative +3 (13)
HP 4 (1d8)
Speed 50 ft.
MOD SAVE            MOD SAVE            MOD SAVE
Str 11 +0 +0         Dex 16 +3 +3         Con 11 +0 +0
Int 2 âˆ’4 âˆ’4          Wis 14 +2 +2         Cha 5 âˆ’3 âˆ’3
Skills Perception +4
Senses Darkvision 60 ft.; Passive Perception 14
Languages None
CR 0 (XP 10; PB +2)
Traits
Agile. The deer doesnâ€™t provoke an Opportunity Attack
when it moves out of an enemyâ€™s reach.
Actions
Ram. Melee Attack Roll: +2, reach 5 ft. Hit: 2 (1d4)
Bludgeoning damage.</t>
  </si>
  <si>
    <t>Dire Wolf</t>
  </si>
  <si>
    <t>Dire Wolf
Large Beast, Unaligned
AC 14 		                   Initiative +2 (12)
HP 22 (3d10 + 6)
Speed 50 ft.
MOD SAVE            MOD SAVE            MOD SAVE
Str 17 +3 +3         Dex 15 +2 +2         Con 15 +2 +2
Int 3 âˆ’4 âˆ’4          Wis 12 +1 +1         Cha 7 âˆ’2 âˆ’2
Skills Perception +5, Stealth +4
Senses Darkvision 60 ft.; Passive Perception 15
Languages None
CR 1 (XP 200; PB +2)
Traits
Pack Tactics. The wolf has Advantage on an attack roll
against a creature if at least one of the wolfâ€™s allies is
within 5 feet of the creature and the ally doesnâ€™t have
the Incapacitated condition.
Actions
Bite. Melee Attack Roll: +5, reach 5 ft. Hit: 8 (1d10 + 3)
Piercing damage. If the target is a Large or smaller crea-
ture, it has the Prone condition.</t>
  </si>
  <si>
    <t>Draft Horse</t>
  </si>
  <si>
    <t>15 (2d10 + 4)</t>
  </si>
  <si>
    <t>Draft Horse
Large Beast, Unaligned
AC 10 		                   Initiative +0 (10)
HP 15 (2d10 + 4)
Speed 40 ft.
MOD SAVE
Str 18 +4 +4
MOD SAVE
Dex 10 +0 +0
MOD SAVE
Con 15 +2 +2
Int 2 âˆ’4 âˆ’4           Wis 11 +0 +0        Cha 7 âˆ’2 âˆ’2
Senses Passive Perception 10
Languages None
CR 1/4 (XP 50; PB +2)
Actions
Hooves. Melee Attack Roll: +6, reach 5 ft. Hit: 6 (1d4
+ 4) Bludgeoning damage.</t>
  </si>
  <si>
    <t>Eagle</t>
  </si>
  <si>
    <t>4 (1d6 + 1)</t>
  </si>
  <si>
    <t>Eagle
Small Beast, Unaligned
AC 12 		                   Initiative +2 (12)
HP 4 (1d6 + 1)
Speed 10 ft., Fly 60 ft.
MOD SAVE             MOD SAVE          MOD SAVE
Str 6 âˆ’2 âˆ’2           Dex 15 +2 +2        Con 12 +1 +1
Int 2 âˆ’4 âˆ’4           Wis 14 +2 +2        Cha 7 âˆ’2 âˆ’2
Skills Perception +6
Senses Passive Perception 16
Languages None
CR 0 (XP 10; PB +2)
Actions
Talons. Melee Attack Roll: +4, reach 5 feet. Hit: 4 (1d4
+ 2) Slashing damage.</t>
  </si>
  <si>
    <t>Elephant</t>
  </si>
  <si>
    <t>76 (8d12 + 24)</t>
  </si>
  <si>
    <t>Elephant
Huge Beast, Unaligned
AC 12 		                   Initiative âˆ’1 (9)
HP 76 (8d12 + 24)
Speed 40 ft.
MOD SAVE             MOD SAVE          MOD SAVE
Str 22 +6 +6          Dex 9 âˆ’1 âˆ’1         Con 17 +3 +3
Int 3 âˆ’4 âˆ’4           Wis 11 +0 +0        Cha 6 âˆ’2 âˆ’2
Senses Passive Perception 10
Languages None
CR 4 (XP 1,100; PB +2)
Actions
Multiattack. The elephant makes two Gore attacks.
Gore. Melee Attack Roll: +8, reach 5 ft. Hit: 15 (2d8
+ 6) Piercing damage. If the target is a Huge or smaller
creature and the elephant moved 20+ feet straight to-
ward it immediately before the hit, the target has the
Prone condition.
Bonus Actions
Trample. Dexterity Saving Throw: DC 16, one creature
within 5 feet that has the Prone condition. Failure: 17
(2d10 + 6) Bludgeoning damage. Success: Half damage.</t>
  </si>
  <si>
    <t>Elk</t>
  </si>
  <si>
    <t>11 (2d10)</t>
  </si>
  <si>
    <t>Elk
Large Beast, Unaligned
AC 10 		                     Initiative +0 (10)
HP 11 (2d10)
Speed 50 ft.
MOD SAVE              MOD SAVE          MOD SAVE
Str 16 +3 +3          Dex 10 +0 +0          Con 11 +0 +0
Int 2 âˆ’4 âˆ’4           Wis 10 +0 +0          Cha 6 âˆ’2 âˆ’2
Skills Perception +2
Senses Darkvision 60 ft.; Passive Perception 12
Languages None
CR 1/4 (XP 50; PB +2)
Actions
Ram. Melee Attack Roll: +5, reach 5 ft. Hit: 6 (1d6
+ 3) Bludgeoning damage. If the target is a Large or
smaller creature and the elk moved 20+ feet straight
toward it immediately before the hit, the target takes an
extra 3 (1d6) Bludgeoning damage and has the Prone
condition.</t>
  </si>
  <si>
    <t>Flying Snake</t>
  </si>
  <si>
    <t>Blindsight 10 ft.; Passive Perception 11</t>
  </si>
  <si>
    <t>Flying Snake
Tiny Monstrosity, Unaligned
AC 14 		                     Initiative +2 (12)
HP 5 (2d4)
Speed 30 ft., Fly 60 ft., Swim 30 ft.
MOD SAVE              MOD SAVE          MOD SAVE
Str 4 âˆ’3 âˆ’3           Dex 15 +2 +2          Con 11 +0 +0
Int 2 âˆ’4 âˆ’4           Wis 12 +1 +1          Cha 5 âˆ’3 âˆ’3
Senses Blindsight 10 ft.; Passive Perception 11
Languages None
CR 1/8 (XP 25; PB +2)
Traits
Flyby. The snake doesnâ€™t provoke an Opportunity At-
tack when it flies out of an enemyâ€™s reach.
Actions
Bite. Melee Attack Roll: +4, reach 5 ft. Hit: 1 Piercing
damage plus 5 (2d4) Poison damage.</t>
  </si>
  <si>
    <t>Frog</t>
  </si>
  <si>
    <t>Perception +1, Stealth +3</t>
  </si>
  <si>
    <t>Darkvision 30 ft.; Passive Perception 11</t>
  </si>
  <si>
    <t>Frog
Tiny Beast, Unaligned
AC 11 		                  Initiative +1 (11)
HP 1 (1d4 âˆ’ 1)
Speed 20 ft., Swim 20 ft.
MOD SAVE              MOD SAVE          MOD SAVE
Str 1 âˆ’5 âˆ’5           Dex 13 +1 +1          Con 8 âˆ’1 âˆ’1
Int 1 âˆ’5 âˆ’5           Wis 8 âˆ’1 âˆ’1           Cha 3 âˆ’4 âˆ’4
Skills Perception +1, Stealth +3
Senses Darkvision 30 ft.; Passive Perception 11
Languages None
CR 0 (XP 10; PB +2)
Traits
Amphibious. The frog can breathe air and water.
Standing Leap. The frogâ€™s Long Jump is up to 10 feet
and its High Jump is up to 5 feet with or without a run-
ning start.
Actions
Bite. Melee Attack Roll: +3, reach 5 ft. Hit: 1 Piercing
damage.</t>
  </si>
  <si>
    <t>Giant Ape</t>
  </si>
  <si>
    <t>Athletics +9, Perception +4, Survival +4</t>
  </si>
  <si>
    <t>Giant Ape
Huge Beast, Unaligned
AC 12		                    Initiative +5 (15)
HP 168 (16d12 + 64)
Speed 40 ft., Climb 40 ft.
MOD SAVE             MOD SAVE           MOD SAVE
Str 23 +6 +6         Dex 14 +2 +2         Con 18 +4 +4
Int 5 âˆ’3 âˆ’3          Wis 12 +1 +1         Cha 7 âˆ’2 âˆ’2
Skills Athletics +9, Perception +4, Survival +4
Senses Passive Perception 14
Languages None
CR 7 (XP 2,900; PB +3)
Actions
Multiattack. The ape makes two Fist attacks.
Fist. Melee Attack Roll: +9, reach 10 ft. Hit: 22 (3d10
+ 6) Bludgeoning damage.
Boulder Toss (Recharge 6). The ape hurls a boulder
at a point it can see within 90 feet. Dexterity Saving
Throw: DC 17, each creature in a 5-foot-radius Sphere
centered on that point. Failure: 24 (7d6) Bludgeoning
damage. If the target is a Large or smaller creature, it
has the Prone condition. Success: Half damage only.
Bonus Actions
Leap. The ape jumps up to 30 feet by spending 10 feet
of movement.</t>
  </si>
  <si>
    <t>Giant Badger</t>
  </si>
  <si>
    <t>Giant Badger
Medium Beast, Unaligned
AC 13 		                    Initiative +0 (10)
HP 15 (2d8 + 6)
Speed 30 ft., Burrow 10 ft.
MOD SAVE             MOD SAVE           MOD SAVE
Str 13 +1 +1         Dex 10 +0 +0         Con 17 +3 +3
Int 2 âˆ’4 âˆ’4          Wis 12 +1 +1         Cha 5 âˆ’3 âˆ’3
Skills Perception +3
Resistances Poison
Senses Darkvision 60 ft.; Passive Perception 13
Languages None
CR 1/4 (XP 50; PB +2)
Actions
Bite. Melee Attack Roll: +3, reach 5 ft. Hit: 6 (2d4 + 1)
Piercing damage.</t>
  </si>
  <si>
    <t>Giant Bat</t>
  </si>
  <si>
    <t>22 (4d10)</t>
  </si>
  <si>
    <t>Blindsight 120 ft.; Passive Perception 11</t>
  </si>
  <si>
    <t>Giant Bat
Large Beast, Unaligned
AC 13 		                   Initiative +3 (13)
HP 22 (4d10)
Speed 10 ft., Fly 60 ft.
MOD SAVE             MOD SAVE            MOD SAVE
Str 15 +2 +2          Dex 16 +3 +3        Con 11 +0 +0
Int 2 âˆ’4 âˆ’4           Wis 12 +1 +1        Cha 6 âˆ’2 âˆ’2
Senses Blindsight 120 ft.; Passive Perception 11
Languages None
CR 1/4 (XP 50; PB +2)
Actions
Bite. Melee Attack Roll: +5, reach 5 ft. Hit: 6 (1d6 + 3)
Piercing damage.</t>
  </si>
  <si>
    <t>Giant Boar</t>
  </si>
  <si>
    <t>42 (5d10 + 15)</t>
  </si>
  <si>
    <t>Passive Perception 8</t>
  </si>
  <si>
    <t>Giant Boar
Large Beast, Unaligned
AC 13 		                   Initiative +0 (10)
HP 42 (5d10 + 15)
Speed 40 ft.
MOD SAVE             MOD SAVE            MOD SAVE
Str 17 +3 +5          Dex 10 +0 +0        Con 16 +3 +3
Int 2 âˆ’4 âˆ’4           Wis 7 âˆ’2 âˆ’2         Cha 5 âˆ’3 âˆ’3
Senses Passive Perception 8
Languages None
CR 2 (XP 450; PB +2)
Traits
Bloodied Fury. The boar has Advantage on melee at-
tack rolls while it is Bloodied.
Actions
Gore. Melee Attack Roll: +5, reach 5 ft. Hit: 10 (2d6
+ 3) Piercing damage. If the target is a Large or smaller
creature and the boar moved 20+ feet straight toward it
immediately before the hit, the target takes an extra 7
(2d6) Piercing damage and has the Prone condition.</t>
  </si>
  <si>
    <t>Giant Centipede</t>
  </si>
  <si>
    <t>9 (2d6 + 2)</t>
  </si>
  <si>
    <t>Blindsight 30 ft.; Passive Perception 8</t>
  </si>
  <si>
    <t>Giant Centipede
Small Beast, Unaligned
AC 14 		                   Initiative +2 (12)
HP 9 (2d6 + 2)
Speed 30 ft., Climb 30 ft.
MOD SAVE            MOD SAVE            MOD SAVE
Str 5     âˆ’3 âˆ’3      Dex 14 +2 +2        Con 12 +1 +1
Int 1     âˆ’5 âˆ’5      Wis 7 âˆ’2 âˆ’2         Cha 3 âˆ’4 âˆ’4
Senses Blindsight 30 ft.; Passive Perception 8
Languages None
CR 1/4 (XP 50; PB +2)
Actions
Bite. Melee Attack Roll: +4, reach 5 ft. Hit: 4 (1d4 + 2)
Piercing damage, and the target has the Poisoned con-
dition until the start of the centipedeâ€™s next turn.</t>
  </si>
  <si>
    <t>Giant Constrictor Snake</t>
  </si>
  <si>
    <t>60 (8d12 + 8)</t>
  </si>
  <si>
    <t>Giant Constrictor Snake
Huge Beast, Unaligned
AC 12 		                  Initiative +2 (12)
HP 60 (8d12 + 8)
Speed 30 ft., Swim 30 ft.
MOD SAVE            MOD SAVE            MOD SAVE
Str 19 +4 +4         Dex 14 +2 +2        Con 12 +1 +1
Int 1 âˆ’5 âˆ’5          Wis 10 +0 +0        Cha 3 âˆ’4 âˆ’4
Skills Perception +2
Senses Blindsight 10 ft.; Passive Perception 12
Languages None
CR 2 (XP 450; PB +2)
Actions
Multiattack. The snake makes one Bite attack and uses
Constrict.
Bite. Melee Attack Roll: +6, reach 10 ft. Hit: 11 (2d6 +
4) Piercing damage.
Constrict. Strength Saving Throw: DC 14, one Large or
smaller creature the snake can see within 10 feet. Fail-
ure: 13 (2d8 + 4) Bludgeoning damage, and the target
has the Grappled condition (escape DC 14).</t>
  </si>
  <si>
    <t>Giant Crab</t>
  </si>
  <si>
    <t>Giant Crab
Medium Beast, Unaligned
AC 15 		                  Initiative +1 (11)
HP 13 (3d8)
Speed 30 ft., Swim 30 ft.
MOD SAVE            MOD SAVE            MOD SAVE
Str 13 +1 +1         Dex 13 +1 +1        Con 11 +0 +0
Int 1 âˆ’5 âˆ’5          Wis 9 âˆ’1 âˆ’1         Cha 3 âˆ’4 âˆ’4
Skills Stealth +3
Senses Blindsight 30 ft.; Passive Perception 9
Languages None
CR 1/8 (XP 25; PB +2)
Traits
Amphibious. The crab can breathe air and water.
Actions
Claw. Melee Attack Roll: +3, reach 5 ft. Hit: 4 (1d6 + 1)
Bludgeoning damage. If the target is a Medium or
smaller creature, it has the Grappled condition (escape
DC 11) from one of two claws.</t>
  </si>
  <si>
    <t>Giant Crocodile</t>
  </si>
  <si>
    <t>85 (9d12 + 27)</t>
  </si>
  <si>
    <t>Speed 30 ft., Swim 50 ft.</t>
  </si>
  <si>
    <t>Giant Crocodile
Huge Beast, Unaligned
AC 14 		                  Initiative âˆ’1 (9)
HP 85 (9d12 + 27)
Speed 30 ft., Swim 50 ft.
MOD SAVE              MOD SAVE         MOD SAVE
Str 21 +5 +5          Dex 9 âˆ’1 âˆ’1          Con 17 +3 +3
Int 2 âˆ’4 âˆ’4           Wis 10 +0 +0         Cha 7 âˆ’2 âˆ’2
Skills Stealth +5
Senses Passive Perception 10
Languages None
CR 5 (XP 1,800; PB +3)
Traits
Hold Breath. The crocodile can hold its breath
for 1 hour.
Actions
Multiattack. The crocodile makes one Bite attack and
one Tail attack.
Bite. Melee Attack Roll: +8, reach 5 ft. Hit: 21 (3d10
+ 5) Piercing damage. If the target is a Large or smaller
creature, it has the Grappled condition (escape DC 15).
While Grappled, the target has the Restrained condition
and canâ€™t be targeted by the crocodileâ€™s Tail.
Tail. Melee Attack Roll: +8, reach 10 ft. Hit: 18 (3d8
+ 5) Bludgeoning damage. If the target is a Large or
smaller creature, it has the Prone condition.</t>
  </si>
  <si>
    <t>Giant Eagle</t>
  </si>
  <si>
    <t>Speed 10 ft., Fly 80 ft.</t>
  </si>
  <si>
    <t>Celestial; understands Common and Primordial (Auran) but canâ€™t speak them</t>
  </si>
  <si>
    <t>Giant Eagle
Large Celestial, Neutral Good
AC 13		                    Initiative +3 (13)
HP 26 (4d10 + 4)
Speed 10 ft., Fly 80 ft.
MOD SAVE              MOD SAVE         MOD SAVE
Str 16 +3 +3          Dex 17 +3 +3         Con 13 +1 +1
Int 8 âˆ’1 âˆ’1           Wis 14 +2 +2         Cha 10 +0 +0
Skills Perception +6
Resistances Necrotic, Radiant
Senses Passive Perception 16
Languages Celestial; understands Common and Primordial
(Auran) but canâ€™t speak them
CR 1 (XP 200; PB +2)
Actions
Multiattack. The eagle makes two Rend attacks.
Rend. Melee Attack Roll: +5, reach 5 ft. Hit: 5 (1d4 + 3)
Slashing damage plus 3 (1d6) Radiant damage.</t>
  </si>
  <si>
    <t>Giant Elk</t>
  </si>
  <si>
    <t>42 (5d12 + 10)</t>
  </si>
  <si>
    <t>Darkvision 90 ft.; Passive Perception 14</t>
  </si>
  <si>
    <t>Celestial; understands Common, Elvish, and Sylvan but canâ€™t speak them</t>
  </si>
  <si>
    <t>Giant Elk
Huge Celestial, Neutral Good
AC 14		                    Initiative +6 (16)
HP 42 (5d12 + 10)
Speed 60 ft.
MOD SAVE             MOD SAVE            MOD SAVE
Str 19 +4 +6         Dex 18 +4 +6         Con 14 +2 +2
Int 7 âˆ’2 âˆ’2          Wis 14 +2 +2         Cha 10 +0 +0
Skills Perception +4
Resistances Necrotic, Radiant
Senses Darkvision 90 ft.; Passive Perception 14
Languages Celestial; understands Common, Elvish, and
Sylvan but canâ€™t speak them
CR 2 (XP 450; PB +2)
Actions
Ram. Melee Attack Roll: +6, reach 10 ft. Hit: 11 (2d6
+ 4) Bludgeoning damage plus 5 (2d4) Radiant damage.
If the target is a Huge or smaller creature and the elk
moved 20+ feet straight toward it immediately before
the hit, the target takes an extra 5 (2d4) Bludgeoning
damage and has the Prone condition.</t>
  </si>
  <si>
    <t>Giant Fire Beetle</t>
  </si>
  <si>
    <t>Giant Fire Beetle
Small Beast, Unaligned
AC 13                Initiative +0 (10)
HP 4 (1d6 + 1)
Speed 30 ft., Climb 30 ft.
MOD SAVE             MOD SAVE            MOD SAVE
Str 8 âˆ’1 âˆ’1          Dex 10 +0 +0         Con 12 +1 +1
Int 1 âˆ’5 âˆ’5          Wis 7 âˆ’2 âˆ’2          Cha 3 âˆ’4 âˆ’4
Resistances Fire
Senses Blindsight 30 ft.; Passive Perception 8
Languages None
CR 0 (XP 10; PB +2)
Traits
Illumination. The beetle sheds Bright Light in a 10-foot
radius and Dim Light for an additional 10 feet.
Actions
Bite. Melee Attack Roll: +1, reach 5 ft. Hit: 1 Fire damage.</t>
  </si>
  <si>
    <t>Giant Frog</t>
  </si>
  <si>
    <t>Darkvision 30 ft.; Passive Perception 12</t>
  </si>
  <si>
    <t>Giant Frog
Medium Beast, Unaligned
AC 11 		                  Initiative +1 (11)
HP 18 (4d8)
Speed 30 ft., Swim 30 ft.
MOD SAVE             MOD SAVE           MOD SAVE
Str 12 +1 +1         Dex 13 +1 +1         Con 11 +0 +0
Int 2 âˆ’4 âˆ’4          Wis 10 +0 +0         Cha 3 âˆ’4 âˆ’4
Skills Perception +2, Stealth +4
Senses Darkvision 30 ft.; Passive Perception 12
Languages None
CR 1/4 (XP 50; PB +2)
Traits
Amphibious. The frog can breathe air and water.
Standing Leap. The frogâ€™s Long Jump is up to 20 feet
and its High Jump is up to 10 feet with or without a
running start.
Actions
Bite. Melee Attack Roll: +3, reach 5 ft. Hit: 5 (1d6 + 2)
Piercing damage. If the target is a Medium or smaller
creature, it has the Grappled condition (escape DC 11).
Swallow. The frog swallows a Small or smaller target it
is grappling. While swallowed, the target isnâ€™t Grappled
but has the Blinded and Restrained conditions, and it
has Total Cover against attacks and other effects outside
the frog. While swallowing the target, the frog canâ€™t use
Bite, and if the frog dies, the swallowed target is no lon-
ger Restrained and can escape from the corpse using 5
feet of movement, exiting with the Prone condition.
At the end of the frogâ€™s next turn, the swallowed target
takes 5 (2d4) Acid damage. If that damage doesnâ€™t kill it,
the frog disgorges it, causing it to exit Prone.</t>
  </si>
  <si>
    <t>Giant Goat</t>
  </si>
  <si>
    <t>Giant Goat
Large Beast, Unaligned
AC 11 		                   Initiative +1 (11)
HP 19 (3d10 + 3)
Speed 40 ft., Climb 30 ft.
MOD SAVE             MOD SAVE           MOD SAVE
Str 17 +3 +5         Dex 13 +1 +1         Con 12 +1 +1
Int 3 âˆ’4 âˆ’4          Wis 12 +1 +1         Cha 6 âˆ’2 âˆ’2
Skills Perception +3
Senses Darkvision 60 ft.; Passive Perception 13
Languages None
CR 1/2 (XP 100; PB +2)
Actions
Ram. Melee Attack Roll: +5, reach 5 ft. Hit: 6 (1d6 + 3)
Bludgeoning damage. If the target is a Large or smaller
creature and the goat moved 20+ feet straight toward it
immediately before the hit, the target takes an extra 5
(2d4) Bludgeoning damage and has the Prone condition.</t>
  </si>
  <si>
    <t>Giant Hyena</t>
  </si>
  <si>
    <t>Giant Hyena
Large Beast, Unaligned
AC 12                Initiative +2 (12)
HP 45 (6d10 + 12)
Speed 50 ft.
MOD SAVE             MOD SAVE           MOD SAVE
Str 16 +3 +3         Dex 14 +2 +2         Con 14 +2 +2
Int 2 âˆ’4 âˆ’4          Wis 12 +1 +1         Cha 7 âˆ’2 âˆ’2
Skills Perception +3
Senses Darkvision 60 ft.; Passive Perception 13
Languages None
CR 1 (XP 200; PB +2)
Actions
Bite. Melee Attack Roll: +5, reach 5 ft. Hit: 10 (2d6 + 3)
Piercing damage.
Bonus Actions
Rampage (1/Day). Immediately after dealing damage
to a creature that was already Bloodied, the hyena can
move up to half its Speed, and it makes one Bite attack.</t>
  </si>
  <si>
    <t>Giant Lizard</t>
  </si>
  <si>
    <t>Giant Lizard
Large Beast, Unaligned
AC 12                Initiative +1 (11)
HP 19 (3d10 + 3)
Speed 40 ft., Climb 40 ft.
MOD SAVE             MOD SAVE           MOD SAVE
Str 15 +2 +2         Dex 12 +1 +3         Con 13 +1 +1
Int 2 âˆ’4 âˆ’4          Wis 10 +0 +0         Cha 5 âˆ’3 âˆ’3
Senses Darkvision 60 ft.; Passive Perception 10
Languages None
CR 1/4 (XP 50; PB +2)
Traits
Spider Climb. The lizard can climb difficult surfaces,
including along ceilings, without needing to make an
ability check.
Actions
Bite. Melee Attack Roll: +4, reach 5 ft. Hit: 6 (1d8 + 2)
Piercing damage.</t>
  </si>
  <si>
    <t>Giant Octopus</t>
  </si>
  <si>
    <t>Speed 10 ft., Swim 60 ft.</t>
  </si>
  <si>
    <t>Giant Octopus
Large Beast, Unaligned
AC 11               Initiative +1 (11)
HP 45 (7d10 + 7)
Speed 10 ft., Swim 60 ft.
MOD SAVE
Str 17 +3 +3
MOD SAVE
Dex 13 +1 +1
MOD SAVE
Con 13 +1 +1
Int 5 âˆ’3 âˆ’3          Wis 10 +0 +0         Cha 4 âˆ’3 âˆ’3
Skills Perception +4, Stealth +5
Senses Darkvision 60 ft.; Passive Perception 14
Languages None
CR 1 (XP 200; PB +2)
Traits
Water Breathing. The octopus can breathe only under-
water. It can hold its breath for 1 hour outside water.
Actions
Tentacles. Melee Attack Roll: +5, reach 10 ft. Hit: 10
(2d6 + 3) Bludgeoning damage. If the target is a Me-
dium or smaller creature, it has the Grappled condition
(escape DC 13) from all eight tentacles. While Grap-
pled, the target has the Restrained condition.
Reactions
Ink Cloud (1/Day). Trigger: The octopus takes damage
while underwater. Response: The octopus releases ink
that fills a 10-foot Cube centered on itself, and the oc-
topus moves up to its Swim Speed. The Cube is Heavily
Obscured for 1 minute or until a strong current or simi-
lar effect disperses the ink.</t>
  </si>
  <si>
    <t>Giant Owl</t>
  </si>
  <si>
    <t>Speed 5 ft., Fly 60 ft.</t>
  </si>
  <si>
    <t>Giant Owl
Large Celestial, Neutral
AC 12		                    Initiative +2 (12)
HP 19 (3d10 + 3)
Speed 5 ft., Fly 60 ft.
MOD SAVE            MOD SAVE            MOD SAVE
Str 13 +1 +1         Dex 15 +2 +2         Con 12 +1 +1
Int 10 +0 +0         Wis 14 +2 +4         Cha 10 +0 +0
Skills Perception +6, Stealth +6
Resistances Necrotic, Radiant
Senses Darkvision 120 ft.; Passive Perception 16
Languages Celestial; understands Common, Elvish, and
Sylvan but canâ€™t speak them
CR 1/4 (XP 50; PB +2)
Traits
Flyby. The owl doesnâ€™t provoke an Opportunity Attack
when it flies out of an enemyâ€™s reach.
Actions
Talons. Melee Attack Roll: +4, reach 5 ft. Hit: 7 (1d10
+ 2) Slashing damage.
Spellcasting. The owl casts one of the following spells,
requiring no spell components and using Wisdom as
the spellcasting ability:
At Will: Detect Evil and Good, Detect Magic
1/Day: Clairvoyance</t>
  </si>
  <si>
    <t>Giant Rat</t>
  </si>
  <si>
    <t>Giant Rat
Small Beast, Unaligned
AC 13 		                   Initiative +3 (13)
HP 7 (2d6)
Speed 30 ft., Climb 30 ft.
MOD SAVE             MOD SAVE           MOD SAVE
Str 7 âˆ’2 âˆ’2          Dex 16 +3 +5         Con 11 +0 +0
Int 2 âˆ’4 âˆ’4          Wis 10 +0 +0         Cha 4 âˆ’3 âˆ’3
Skills Perception +2
Senses Darkvision 60 ft.; Passive Perception 12
Languages None
CR 1/8 (XP 25; PB +2)
Traits
Pack Tactics. The rat has Advantage on an attack roll
against a creature if at least one of the ratâ€™s allies is
within 5 feet of the creature and the ally doesnâ€™t have
the Incapacitated condition.
Actions
Bite. Melee Attack Roll: +5, reach 5 feet. Hit: 5 (1d4
+ 3) Piercing damage.</t>
  </si>
  <si>
    <t>Giant Scorpion</t>
  </si>
  <si>
    <t>Blindsight 60 ft.; Passive Perception 9</t>
  </si>
  <si>
    <t>Giant Scorpion
Large Beast, Unaligned
AC 15 		                   Initiative +1 (11)
HP 52 (7d10 + 14)
Speed 40 ft.
MOD SAVE             MOD SAVE           MOD SAVE
Str 16 +3 +3         Dex 13 +1 +1         Con 15 +2 +2
Int 1 âˆ’5 âˆ’5          Wis 9 âˆ’1 âˆ’1          Cha 3 âˆ’4 âˆ’4
Senses Blindsight 60 ft.; Passive Perception 9
Languages None
CR 3 (XP 700; PB +2)
Actions
Multiattack. The scorpion makes two Claw attacks and
one Sting attack.
Claw. Melee Attack Roll: +5, reach 5 ft. Hit: 6 (1d6 + 3)
Bludgeoning damage. If the target is a Large or smaller
creature, it has the Grappled condition (escape DC 13)
from one of two claws.
Sting. Melee Attack Roll: +5, reach 5 ft. Hit: 7 (1d8 + 3)
Piercing damage plus 11 (2d10) Poison damage.</t>
  </si>
  <si>
    <t>Giant Seahorse</t>
  </si>
  <si>
    <t>16 (3d10)</t>
  </si>
  <si>
    <t>Speed 5 ft., Swim 40 ft.</t>
  </si>
  <si>
    <t>Giant Seahorse
Large Beast, Unaligned
AC 14 		                   Initiative +1 (11)
HP 16 (3d10)
Speed 5 ft., Swim 40 ft.
MOD SAVE
Str 15 +2 +2
MOD SAVE
Dex 12 +1 +1
MOD SAVE
Con 11 +0 +0
Int 2 âˆ’4 âˆ’4          Wis 12 +1 +1         Cha 5 âˆ’3 âˆ’3
Senses Passive Perception 11
Languages None
CR 1/2 (XP 100; PB +2)
Traits
Water Breathing. The seahorse can breathe only
underwater.
Actions
Ram. Melee Attack Roll: +4, reach 5 ft. Hit: 9 (2d6
+ 2) Bludgeoning damage, or 11 (2d8 + 2) Bludgeoning
damage if the seahorse moved 20+ feet straight toward
the target immediately before the hit.
Bonus Actions
Bubble Dash. While underwater, the seahorse moves
up to half its Swim Speed without provoking Opportu-
nity Attacks.</t>
  </si>
  <si>
    <t>Giant Shark</t>
  </si>
  <si>
    <t>92 (8d12 + 40)</t>
  </si>
  <si>
    <t>Speed 5 ft., Swim 60 ft.</t>
  </si>
  <si>
    <t>Blindsight 60 ft.; Passive Perception 13</t>
  </si>
  <si>
    <t>Giant Shark
Huge Beast, Unaligned
AC 13 		                   Initiative +3 (13)
HP 92 (8d12 + 40)
Speed 5 ft., Swim 60 ft.
MOD SAVE             MOD SAVE           MOD SAVE
Str 23 +6 +6         Dex 11 +0 +0         Con 21 +5 +5
Int 1 âˆ’5 âˆ’5          Wis 10 +0 +0         Cha 5 âˆ’3 âˆ’3
Skills Perception +3
Senses Blindsight 60 ft.; Passive Perception 13
Languages None
CR 5 (XP 1,800; PB +3)
Traits
Water Breathing. The shark can breathe only underwater.
Actions
Multiattack. The shark makes two Bite attacks.
Bite. Melee Attack Roll: +9 (with Advantage if the target
doesnâ€™t have all its Hit Points), reach 5 ft. Hit: 22 (3d10
+ 6) Piercing damage.</t>
  </si>
  <si>
    <t>Giant Spider</t>
  </si>
  <si>
    <t>Perception +4, Stealth +7</t>
  </si>
  <si>
    <t>Giant Spider
Large Beast, Unaligned
AC 14 		                   Initiative +3 (13)
HP 26 (4d10 + 4)
Speed 30 ft., Climb 30 ft.
MOD SAVE            MOD SAVE            MOD SAVE
Str 14 +2 +2         Dex 16 +3 +3        Con 12 +1 +1
Int 2 âˆ’4 âˆ’4          Wis 11 +0 +0        Cha 4 âˆ’3 âˆ’3
Skills Perception +4, Stealth +7
Senses Darkvision 60 ft.; Passive Perception 14
Languages None
CR 1 (XP 200; PB +2)
Traits
Spider Climb. The spider can climb difficult surfaces,
including along ceilings, without needing to make an
ability check.
Web Walker. The spider ignores movement restrictions
caused by webs, and it knows the location of any other
creature in contact with the same web.
Actions
Bite. Melee Attack Roll: +5, reach 5 ft. Hit: 7 (1d8 + 3)
Piercing damage plus 7 (2d6) Poison damage.
Web (Recharge 5â€“6). Dexterity Saving Throw: DC 13,
one creature the spider can see within 60 feet. Failure:
The target has the Restrained condition until the web is
destroyed (AC 10; HP 5; Vulnerability to Fire damage;
Immunity to Poison and Psychic damage).</t>
  </si>
  <si>
    <t>Giant Toad</t>
  </si>
  <si>
    <t>39 (6d10 + 6)</t>
  </si>
  <si>
    <t>Giant Toad
Large Beast, Unaligned
AC 11 		                  Initiative +1 (11)
HP 39 (6d10 + 6)
Speed 30 ft., Swim 30 ft.
MOD SAVE            MOD SAVE            MOD SAVE
Str 15 +2 +2         Dex 13 +1 +1        Con 13 +1 +1
Int 2 âˆ’4 âˆ’4          Wis 10 +0 +0        Cha 3 âˆ’4 âˆ’4
Senses Darkvision 60 ft.; Passive Perception 10
Languages None
CR 1 (XP 200; PB +2)
Traits
Amphibious. The toad can breathe air and water.
Standing Leap. The toadâ€™s Long Jump is up to 20 feet
and its High Jump is up to 10 feet with or without a
running start.
Actions
Bite. Melee Attack Roll: +4, reach 5 ft. Hit: 5 (1d6 + 2)
Piercing damage plus 5 (2d4) Poison damage. If the tar-
get is a Medium or smaller creature, it has the Grappled
condition (escape DC 12).
Swallow. The toad swallows a Medium or smaller target
it is grappling. While swallowed, the target isnâ€™t Grap-
pled but has the Blinded and Restrained conditions,
and it has Total Cover against attacks and other effects
outside the toad. In addition, the target takes 10 (3d6)
Acid damage at the end of each of the toadâ€™s turns. The
toad can have only one target swallowed at a time, and
it canâ€™t use Bite while it has a swallowed target. If the
toad dies, a swallowed creature is no longer Restrained
and can escape from the corpse using 5 feet of move-
ment, exiting with the Prone condition.</t>
  </si>
  <si>
    <t>Giant Venomous Snake</t>
  </si>
  <si>
    <t>Giant Venomous Snake
Medium Beast, Unaligned
AC 14 		                  Initiative +4 (14)
HP 11 (2d8 + 2)
Speed 40 ft., Swim 40 ft.
MOD SAVE             MOD SAVE             MOD SAVE
Str 10 +0 +0          Dex 18 +4 +4         Con 13 +1 +1
Int 2 âˆ’4 âˆ’4           Wis 10 +0 +0         Cha 3 âˆ’4 âˆ’4
Skills Perception +2
Senses Blindsight 10 ft.; Passive Perception 12
Languages None
CR 1/4 (XP 50; PB +2)
Actions
Bite. Melee Attack Roll: +6, reach 10 ft. Hit: 6 (1d4 + 4)
Piercing damage plus 4 (1d8) Poison damage.</t>
  </si>
  <si>
    <t>Giant Vulture</t>
  </si>
  <si>
    <t>25 (3d10 + 9)</t>
  </si>
  <si>
    <t>Giant Vulture
Large Monstrosity, Neutral Evil
AC 10		                     Initiative +0 (10)
HP 25 (3d10 + 9)
Speed 10 ft., Fly 60 ft.
MOD SAVE             MOD SAVE             MOD SAVE
Str 15 +2 +2          Dex 10 +0 +0         Con 16 +3 +3
Int 6 âˆ’2 âˆ’2           Wis 12 +1 +1         Cha 7 âˆ’2 âˆ’2
Skills Perception +3
Resistances Necrotic
Senses Darkvision 60 ft.; Passive Perception 13
Languages Understands Common but canâ€™t speak
CR 1 (XP 200; PB +2)
Traits
Pack Tactics. The vulture has Advantage on an attack
roll against a creature if at least one of the vultureâ€™s al-
lies is within 5 feet of the creature and the ally doesnâ€™t
have the Incapacitated condition.
Actions
Gouge. Melee Attack Roll: +4, reach 5 ft. Hit: 9 (2d6
+ 2) Piercing damage, and the target has the Poisoned
condition until the end of its next turn.</t>
  </si>
  <si>
    <t>Giant Wasp</t>
  </si>
  <si>
    <t>Speed 10 ft., Fly 50 ft.</t>
  </si>
  <si>
    <t>Giant Wasp
Medium Beast, Unaligned
AC 13 		                    Initiative +2 (12)
HP 22 (5d8)
Speed 10 ft., Fly 50 ft.
MOD SAVE
Str 10 +0 +0
MOD SAVE
Dex 14 +2 +2
MOD SAVE
Con 10 +0 +0
Int 1 âˆ’5 âˆ’5          Wis 10 +0 +0          Cha 3 âˆ’4 âˆ’4
Senses Passive Perception 10
Languages None
CR 1/2 (XP 100; PB +2)
Traits
Flyby. The wasp doesnâ€™t provoke an Opportunity At-
tack when it flies out of an enemyâ€™s reach.
Actions
Sting. Melee Attack Roll: +4, reach 5 ft. Hit: 5 (1d6 + 2)
Piercing damage plus 5 (2d4) Poison damage.</t>
  </si>
  <si>
    <t>Giant Weasel</t>
  </si>
  <si>
    <t>Acrobatics +5, Perception +3, Stealth +5</t>
  </si>
  <si>
    <t>Giant Weasel
Medium Beast, Unaligned
AC 13 		                   Initiative +3 (13)
HP 9 (2d8)
Speed 40 ft., Climb 30 ft.
MOD SAVE             MOD SAVE           MOD SAVE
Str 11 +0 +0         Dex 17 +3 +3          Con 10 +0 +0
Int 4 âˆ’3 âˆ’3          Wis 12 +1 +1          Cha 5 âˆ’3 âˆ’3
Skills Acrobatics +5, Perception +3, Stealth +5
Senses Darkvision 60 ft.; Passive Perception 13
Languages None
CR 1/8 (XP 25; PB +2)
Actions
Bite. Melee Attack Roll: +5, reach 5 ft. Hit: 5 (1d4 + 3)
Piercing damage.</t>
  </si>
  <si>
    <t>Giant Wolf Spider</t>
  </si>
  <si>
    <t>Perception +3, Stealth +7</t>
  </si>
  <si>
    <t>Blindsight 10 ft., Darkvision 60 ft.; Passive Perception 13</t>
  </si>
  <si>
    <t>Giant Wolf Spider
Medium Beast, Unaligned
AC 13 		                   Initiative +3 (13)
HP 11 (2d8 + 2)
Speed 40 ft., Climb 40 ft.
MOD SAVE             MOD SAVE           MOD SAVE
Str 12 +1 +1         Dex 16 +3 +3          Con 13 +1 +1
Int 3 âˆ’4 âˆ’4          Wis 12 +1 +1          Cha 4 âˆ’3 âˆ’3
Skills Perception +3, Stealth +7
Senses Blindsight 10 ft., Darkvision 60 ft.;
Passive Perception 13
Languages None
CR 1/4 (XP 50; PB +2)
Traits
Spider Climb. The spider can climb difficult surfaces,
including along ceilings, without needing to make an
ability check.
Actions
Bite. Melee Attack Roll: +5, reach 5 ft. Hit: 5 (1d4 + 3)
Piercing damage plus 5 (2d4) Poison damage.</t>
  </si>
  <si>
    <t>Goat</t>
  </si>
  <si>
    <t>Goat
Medium Beast, Unaligned
AC 10 		                   Initiative +0 (10)
HP 4 (1d8)
Speed 40 ft., Climb 30 ft.
MOD SAVE             MOD SAVE           MOD SAVE
Str 11 +0 +2          Dex 10 +0 +0        Con 11 +0 +0
Int 2 âˆ’4 âˆ’4           Wis 10 +0 +0        Cha 5 âˆ’3 âˆ’3
Skills Perception +2
Senses Darkvision 60 ft.; Passive Perception 12
Languages None
CR 0 (XP 10; PB +2)
Actions
Ram. Melee Attack Roll: +2, reach 5 ft. Hit: 1 Blud-
geoning damage, or 2 (1d4) Bludgeoning damage if the
goat moved 20+ feet straight toward the target immedi-
ately before the hit.</t>
  </si>
  <si>
    <t>Hawk</t>
  </si>
  <si>
    <t>Hawk
Tiny Beast, Unaligned
AC 13 		                   Initiative +3 (13)
HP 1 (1d4 âˆ’ 1)
Speed 10 ft., Fly 60 ft.
MOD SAVE             MOD SAVE           MOD SAVE
Str 5 âˆ’3 âˆ’3           Dex 16 +3 +3        Con 8 âˆ’1 âˆ’1
Int 2 âˆ’4 âˆ’4           Wis 14 +2 +2        Cha 6 âˆ’2 âˆ’2
Skills Perception +6
Senses Passive Perception 16
Languages None
CR 0 (XP 10; PB +2)
Actions
Talons. Melee Attack Roll: +5, reach 5 ft. Hit: 1 Slash-
ing damage.</t>
  </si>
  <si>
    <t>Hippopotamus</t>
  </si>
  <si>
    <t>82 (11d10 + 22)</t>
  </si>
  <si>
    <t>Hippopotamus
Large Beast, Unaligned
AC 14		                   Initiative âˆ’2 (8)
HP 82 (11d10 + 22)
Speed 30 ft., Swim 30 ft.
MOD SAVE             MOD SAVE           MOD SAVE
Str 21 +5 +7          Dex 7 âˆ’2 âˆ’2         Con 15 +2 +2
Int 2 âˆ’4 âˆ’4           Wis 12 +1 +1        Cha 4 âˆ’3 âˆ’3
Skills Perception +3
Senses Passive Perception 13
Languages None
CR 4 (XP 1,100; PB +2)
Traits
Hold Breath. The hippopotamus can hold its breath for
10 minutes.
Actions
Multiattack. The hippopotamus makes two Bite attacks.
Bite. Melee Attack Roll: +7, reach 5 ft. Hit: 16 (2d10 +
5) Piercing damage.</t>
  </si>
  <si>
    <t>Hunter Shark</t>
  </si>
  <si>
    <t>Blindsight 60 ft.; Passive Perception 12</t>
  </si>
  <si>
    <t>Hunter Shark
Large Beast, Unaligned
AC 12 		                    Initiative +2 (12)
HP 45 (6d10 + 12)
Speed 5 ft., Swim 40 ft.
MOD SAVE             MOD SAVE             MOD SAVE
Str 18 +4 +4         Dex 14 +2 +2          Con 15 +2 +2
Int 1 âˆ’5 âˆ’5          Wis 10 +0 +0          Cha 4 âˆ’3 âˆ’3
Skills Perception +2
Senses Blindsight 60 ft.; Passive Perception 12
Languages None
CR 2 (XP 450; PB +2)
Traits
Water Breathing. The shark can breathe only underwater.
Actions
Bite. Melee Attack Roll: +6 (with Advantage if the tar-
get doesnâ€™t have all its Hit Points), reach 5 ft. Hit: 14
(3d6 + 4) Piercing damage.</t>
  </si>
  <si>
    <t>Hyena</t>
  </si>
  <si>
    <t>5 (1d8 + 1)</t>
  </si>
  <si>
    <t>Hyena
Medium Beast, Unaligned
AC 11 		                    Initiative +1 (11)
HP 5 (1d8 + 1)
Speed 50 ft.
MOD SAVE             MOD SAVE             MOD SAVE
Str 11 +0 +0         Dex 13 +1 +1          Con 12 +1 +1
Int 2 âˆ’4 âˆ’4          Wis 12 +1 +1          Cha 5 âˆ’3 âˆ’3
Skills Perception +3
Senses Darkvision 60 ft.; Passive Perception 13
Languages None
CR 0 (XP 10; PB +2)
Traits
Pack Tactics. The hyena has Advantage on an attack
roll against a creature if at least one of the hyenaâ€™s allies
is within 5 feet of the creature and the ally doesnâ€™t have
the Incapacitated condition.
Actions
Bite. Melee Attack Roll: +2, reach 5 ft. Hit: 3 (1d6)
Piercing damage.</t>
  </si>
  <si>
    <t>Jackal</t>
  </si>
  <si>
    <t>Darkvision 90 ft.; Passive Perception 15</t>
  </si>
  <si>
    <t>Jackal
Small Beast, Unaligned
AC 12 		                   Initiative +2 (12)
HP 3 (1d6)
Speed 40 ft.
MOD SAVE            MOD SAVE             MOD SAVE
Str 8 âˆ’1 âˆ’1          Dex 15 +2 +2         Con 11 +0 +0
Int 3 âˆ’4 âˆ’4          Wis 12 +1 +1         Cha 6 âˆ’2 âˆ’2
Skills Perception +5, Stealth +4
Senses Darkvision 90 ft.; Passive Perception 15
Languages None
CR 0 (XP 10; PB +2)
Actions
Bite. Melee Attack Roll: +1, reach 5 ft. Hit: 1 (1d4 â€“ 1)
Piercing damage.</t>
  </si>
  <si>
    <t>Killer Whale</t>
  </si>
  <si>
    <t>Blindsight 120 ft.; Passive Perception 13</t>
  </si>
  <si>
    <t>Killer Whale
Huge Beast, Unaligned
AC 12 		                   Initiative +2 (12)
HP 90 (12d12 + 12)
Speed 5 ft., Swim 60 ft.
MOD SAVE            MOD SAVE             MOD SAVE
Str 19 +4 +4         Dex 14 +2 +2         Con 13 +1 +1
Int 3 âˆ’4 âˆ’4          Wis 12 +1 +1         Cha 7 âˆ’2 âˆ’2
Skills Perception +3, Stealth +4
Senses Blindsight 120 ft.; Passive Perception 13
Languages None
CR 3 (XP 700; PB +2)
Traits
Hold Breath. The whale can hold its breath for
30 minutes.
Actions
Bite. Melee Attack Roll: +6, reach 5 ft. Hit: 21 (5d6
+ 4) Piercing damage.</t>
  </si>
  <si>
    <t>Lion</t>
  </si>
  <si>
    <t>Lion
Large Beast, Unaligned
AC 12 		                   Initiative +2 (12)
HP 22 (4d10)
Speed 50 ft.
MOD SAVE            MOD SAVE             MOD SAVE
Str 17 +3 +3         Dex 15 +2 +2         Con 11 +0 +0
Int 3 âˆ’4 âˆ’4          Wis 12 +1 +1         Cha 8 âˆ’1 âˆ’1
Skills Perception +3, Stealth +4
Senses Darkvision 60 ft.; Passive Perception 13
Languages None
CR 1 (XP 200; PB +2)
Traits
Pack Tactics. The lion has Advantage on an attack roll
against a creature if at least one of the lionâ€™s allies is
within 5 feet of the creature and the ally doesnâ€™t have
the Incapacitated condition.
Running Leap. With a 10-foot running start, the lion
can Long Jump up to 25 feet.
Actions
Multiattack. The lion makes two Rend attacks. It can
replace one attack with a use of Roar.
Rend. Melee Attack Roll: +5, reach 5 ft. Hit: 7 (1d8 + 3)
Slashing damage.
Roar. Wisdom Saving Throw: DC 11, one creature
within 15 feet. Failure: The target has the Frightened
condition until the start of the lionâ€™s next turn.</t>
  </si>
  <si>
    <t>Lizard</t>
  </si>
  <si>
    <t>Darkvision 30 ft.; Passive Perception 9</t>
  </si>
  <si>
    <t>Lizard
Tiny Beast, Unaligned
AC 10 		                   Initiative +0 (10)
HP 2 (1d4)
Speed 20 ft., Climb 20 ft.
MOD SAVE             MOD SAVE           MOD SAVE
Str 2 âˆ’4 âˆ’4          Dex 11 +0 +0         Con 10 +0 +0
Int 1 âˆ’5 âˆ’5          Wis 8 âˆ’1 âˆ’1          Cha 3 âˆ’4 âˆ’4
Senses Darkvision 30 ft.; Passive Perception 9
Languages None
CR 0 (XP 10; PB +2)
Traits
Spider Climb. The lizard can climb difficult surfaces,
including along ceilings, without needing to make an
ability check.
Actions
Bite. Melee Attack Roll: +2, reach 5 ft. Hit: 1 Piercing
damage.</t>
  </si>
  <si>
    <t>Mammoth</t>
  </si>
  <si>
    <t>Mammoth
Huge Beast, Unaligned
AC 13 		                   Initiative +2 (12)
HP 126 (11d12 + 55)
Speed 50 ft.
MOD SAVE             MOD SAVE           MOD SAVE
Str 24 +7 +10 Dex 9 âˆ’1 âˆ’1                 Con 21 +5 +8
Int 3 âˆ’4 âˆ’4 Wis 11 +0 +0                  Cha 6 âˆ’2 âˆ’2
Senses Passive Perception 10
Languages None
CR 6 (XP 2,300; PB +3)
Actions
Multiattack. The mammoth makes two Gore attacks.
Gore. Melee Attack Roll: +10, reach 10 ft. Hit: 18 (2d10
+ 7) Piercing damage. If the target is a Huge or smaller
creature and the mammoth moved 20+ feet straight
toward it immediately before the hit, the target has the
Prone condition.
Bonus Actions
Trample. Dexterity Saving Throw: DC 18, one creature
within 5 feet that has the Prone condition. Failure: 29
(4d10 + 7) Bludgeoning damage. Success: Half damage.</t>
  </si>
  <si>
    <t>Mastiff</t>
  </si>
  <si>
    <t>Mastiff
Medium Beast, Unaligned
AC 12 		                   Initiative +2 (12)
HP 5 (1d8 + 1)
Speed 40 ft.
MOD SAVE             MOD SAVE           MOD SAVE
Str 13 +1 +1         Dex 14 +2 +2         Con 12 +1 +1
Int 3 âˆ’4 âˆ’4          Wis 12 +1 +3         Cha 7 âˆ’2 âˆ’2
Skills Perception +5
Senses Darkvision 60 ft.; Passive Perception 15
Languages None
CR 1/8 (XP 25; PB +2)
Actions
Bite. Melee Attack Roll: +3, reach 5 ft. Hit: 4 (1d6 + 1)
Piercing damage. If the target is a Medium or smaller
creature, it has the Prone condition.</t>
  </si>
  <si>
    <t>Mule</t>
  </si>
  <si>
    <t>Mule
Medium Beast, Unaligned
AC 10 		                   Initiative +0 (10)
HP 11 (2d8 + 2)
Speed 40 ft.
MOD SAVE             MOD SAVE           MOD SAVE
Str 14 +2 +4         Dex 10 +0 +0         Con 13 +1 +1
Int 2 âˆ’4 âˆ’4          Wis 10 +0 +0         Cha 5 âˆ’3 âˆ’3
Senses Passive Perception 10
Languages None
CR 1/8 (XP 25; PB +2)
Traits
Beast of Burden. The mule counts as one size larger for
the purpose of determining its carrying capacity.
Actions
Hooves. Melee Attack Roll: +4, reach 5 ft. Hit: 4 (1d4
+ 2) Bludgeoning damage.</t>
  </si>
  <si>
    <t>Octopus</t>
  </si>
  <si>
    <t>Speed 5 ft., Swim 30 ft.</t>
  </si>
  <si>
    <t>Perception +2, Stealth +6</t>
  </si>
  <si>
    <t>Octopus
Small Beast, Unaligned
AC 12 		                   Initiative +2 (12)
HP 3 (1d6)
Speed 5 ft., Swim 30 ft.
MOD SAVE             MOD SAVE            MOD SAVE
Str 4 âˆ’3 âˆ’3          Dex 15 +2 +2         Con 11 +0 +0
Int 3 âˆ’4 âˆ’4          Wis 10 +0 +0         Cha 4 âˆ’3 âˆ’3
Skills Perception +2, Stealth +6
Senses Darkvision 30 ft.; Passive Perception 12
Languages None
CR 0 (XP 10; PB +2)
Traits
Compression. The octopus can move through a space
as narrow as 1 inch without expending extra move-
ment to do so.
Water Breathing. The octopus can breathe only
underwater.
Actions
Tentacles. Melee Attack Roll: +4, reach 5 ft. Hit: 1
Bludgeoning damage.
Reactions
Ink Cloud (1/Day). Trigger: A creature ends its turn
within 5 feet of the octopus while underwater. Re-
sponse: The octopus releases ink that fills a 5-foot
Cube centered on itself, and the octopus moves up to
its Swim Speed. The Cube is Heavily Obscured for 1
minute or until a strong current or similar effect dis-
perses the ink.</t>
  </si>
  <si>
    <t>Owl</t>
  </si>
  <si>
    <t>Owl
Tiny Beast, Unaligned
AC 11 		                   Initiative +1 (11)
HP 1 (1d4 âˆ’ 1)
Speed 5 ft., Fly 60 ft.
MOD SAVE             MOD SAVE            MOD SAVE
Str 3 âˆ’4 âˆ’4          Dex 13 +1 +1         Con 8 âˆ’1 âˆ’1
Int 2 âˆ’4 âˆ’4          Wis 12 +1 +1         Cha 7 âˆ’2 âˆ’2
Skills Perception +5, Stealth +5
Senses Darkvision 120 ft.; Passive Perception 15
Languages None
CR 0 (XP 10; PB +2)
Traits
Flyby. The owl doesnâ€™t provoke an Opportunity Attack
when it flies out of an enemyâ€™s reach.
Actions
Talons. Melee Attack Roll: +3, reach 5 ft. Hit: 1 Slash-
ing damage.</t>
  </si>
  <si>
    <t>Panther</t>
  </si>
  <si>
    <t>Speed 50 ft., Climb 40 ft.</t>
  </si>
  <si>
    <t>Panther
Medium Beast, Unaligned
AC 13 		                   Initiative +3 (13)
HP 13 (3d8)
Speed 50 ft., Climb 40 ft.
MOD SAVE            MOD SAVE            MOD SAVE
Str 14 +2 +2         Dex 16 +3 +3         Con 10 +0 +0
Int 3 âˆ’4 âˆ’4          Wis 14 +2 +2         Cha 7 âˆ’2 âˆ’2
Skills Perception +4, Stealth +7
Senses Darkvision 60 ft.; Passive Perception 14
Languages None
CR 1/4 (XP 50; PB +2)
Actions
Rend. Melee Attack Roll: +5, reach 5 ft. Hit: 6 (1d6 + 3)
Slashing damage.
Bonus Actions
Nimble Escape. The panther takes the Disengage or
Hide action.</t>
  </si>
  <si>
    <t>Piranha</t>
  </si>
  <si>
    <t>Piranha
Tiny Beast, Unaligned
AC 13 		                   Initiative +3 (13)
HP 1 (1d4 âˆ’ 1)
Speed 5 ft., Swim 40 ft.
MOD SAVE            MOD SAVE            MOD SAVE
Str 2 âˆ’4 âˆ’4          Dex 16 +3 +3         Con 9 âˆ’1 âˆ’1
Int 1 âˆ’5 âˆ’5          Wis 7 âˆ’2 âˆ’2          Cha 2 âˆ’4 âˆ’4
Senses Darkvision 60 ft.; Passive Perception 8
Languages None
CR 0 (XP 10; PB +2)
Traits
Water Breathing. The piranha can breathe only
underwater.
Actions
Bite. Melee Attack Roll: +5 (with Advantage if the target
doesnâ€™t have all its Hit Points), reach 5 ft. Hit: 1 Pierc-
ing damage.</t>
  </si>
  <si>
    <t>Plesiosaurus</t>
  </si>
  <si>
    <t>Speed 20 ft., Swim 40 ft.</t>
  </si>
  <si>
    <t>Plesiosaurus
Large Beast (Dinosaur), Unaligned
AC 13 		                  Initiative +2 (12)
HP 68 (8d10 + 24)
Speed 20 ft., Swim 40 ft.
MOD SAVE            MOD SAVE            MOD SAVE
Str 18 +4 +4         Dex 15 +2 +2         Con 16 +3 +3
Int 2 âˆ’4 âˆ’4          Wis 12 +1 +1         Cha 5 âˆ’3 âˆ’3
Skills Perception +3, Stealth +4
Senses Passive Perception 13
Languages None
CR 2 (XP 450; PB +2)
Traits
Hold Breath. The plesiosaurus can hold its breath
for 1 hour.
Actions
Bite. Melee Attack Roll: +6, reach 10 ft. Hit: 11 (2d6 +
4) Piercing damage.</t>
  </si>
  <si>
    <t>Polar Bear</t>
  </si>
  <si>
    <t>Polar Bear
Large Beast, Unaligned
AC 12 		                  Initiative +2 (12)
HP 42 (5d10 + 15)
Speed 40 ft., Swim 40 ft.
MOD SAVE             MOD SAVE           MOD SAVE
Str 20 +5 +5          Dex 14 +2 +2        Con 16 +3 +3
Int 2 âˆ’4 âˆ’4           Wis 13 +1 +1        Cha 7 âˆ’2 âˆ’2
Skills Perception +5, Stealth +4
Resistances Cold
Senses Darkvision 60 ft.; Passive Perception 15
Languages None
CR 2 (XP 450; PB +2)
Actions
Multiattack. The bear makes two Rend attacks.
Rend. Melee Attack Roll: +7, reach 5 ft. Hit: 9 (1d8 + 5)
Slashing damage.</t>
  </si>
  <si>
    <t>Pony</t>
  </si>
  <si>
    <t>Pony
Medium Beast, Unaligned
AC 10 		                   Initiative +0 (10)
HP 11 (2d8 + 2)
Speed 40 ft.
MOD SAVE             MOD SAVE           MOD SAVE
Str 15 +2 +4          Dex 10 +0 +0        Con 13 +1 +1
Int 2 âˆ’4 âˆ’4           Wis 11 +0 +0        Cha 7 âˆ’2 âˆ’2
Senses Passive Perception 10
Languages None
CR 1/8 (XP 25; PB +2)
Actions
Hooves. Melee Attack Roll: +4, reach 5 ft. Hit: 4 (1d4
+ 2) Bludgeoning damage.</t>
  </si>
  <si>
    <t>Pteranodon</t>
  </si>
  <si>
    <t>Perception +1</t>
  </si>
  <si>
    <t>Pteranodon
Medium Beast (Dinosaur), Unaligned
AC 13 		                   Initiative +2 (12)
HP 13 (3d8)
Speed 10 ft., Fly 60 ft.
MOD SAVE             MOD SAVE           MOD SAVE
Str 12 +1 +1          Dex 15 +2 +2        Con 10 +0 +0
Int 2 âˆ’4 âˆ’4           Wis 9 âˆ’1 âˆ’1         Cha 5 âˆ’3 âˆ’3
Skills Perception +1
Senses Passive Perception 11
Languages None
CR 1/4 (XP 50; PB +2)
Traits
Flyby. The pteranodon doesnâ€™t provoke an Opportunity
Attack when it flies out of an enemyâ€™s reach.
Actions
Bite. Melee Attack Roll: +4, reach 5 ft. Hit: 6 (1d8 + 2)
Piercing damage.</t>
  </si>
  <si>
    <t>Rat</t>
  </si>
  <si>
    <t>Rat
Tiny Beast, Unaligned
AC 10 		                   Initiative +0 (10)
HP 1 (1d4 âˆ’ 1)
Speed 20 ft., Climb 20 ft.
MOD SAVE             MOD SAVE           MOD SAVE
Str 2 âˆ’4 âˆ’4           Dex 11 +0 +0        Con 9 âˆ’1 âˆ’1
Int 2 âˆ’4 âˆ’4           Wis 10 +0 +0        Cha 4 âˆ’3 âˆ’3
Skills Perception +2
Senses Darkvision 30 ft.; Passive Perception 12
Languages None
CR 0 (XP 10; PB +2)
Traits
Agile. The rat doesnâ€™t provoke an Opportunity Attack
when it moves out of an enemyâ€™s reach.
Actions
Bite. Melee Attack Roll: +2, reach 5 ft. Hit: 1 Piercing
damage.</t>
  </si>
  <si>
    <t>Raven</t>
  </si>
  <si>
    <t>Raven
Tiny Beast, Unaligned
AC 12 		                   Initiative +2 (12)
HP 2 (1d4)
Speed 10 ft., Fly 50 ft.
MOD SAVE             MOD SAVE           MOD SAVE
Str 2 âˆ’4 âˆ’4           Dex 14 +2 +2        Con 10 +0 +0
Int 5 âˆ’3 âˆ’3           Wis 13 +1 +1        Cha 6 âˆ’2 âˆ’2
Skills Perception +3
Senses Passive Perception 13
Languages None
CR 0 (XP 10; PB +2)
Traits
Mimicry. The raven can mimic simple sounds it has
heard, such as a whisper or chitter. A hearer can dis-
cern the sounds are imitations with a successful DC 10
Wisdom (Insight) check.
Actions
Beak. Melee Attack Roll: +4, reach 5 ft. Hit: 1 Piercing
damage.</t>
  </si>
  <si>
    <t>Reef Shark</t>
  </si>
  <si>
    <t>Blindsight 30 ft.; Passive Perception 12</t>
  </si>
  <si>
    <t>Reef Shark
Medium Beast, Unaligned
AC 12 		                   Initiative +2 (12)
HP 22 (4d8 + 4)
Speed 5 ft., Swim 30 ft.
MOD SAVE             MOD SAVE           MOD SAVE
Str 14 +2 +2         Dex 15 +2 +2         Con 13 +1 +1
Int 1 âˆ’5 âˆ’5          Wis 10 +0 +0         Cha 4 âˆ’3 âˆ’3
Skills Perception +2
Senses Blindsight 30 ft.; Passive Perception 12
Languages None
CR 1/2 (XP 100; PB +2)
Traits
Pack Tactics. The shark has Advantage on an attack roll
against a creature if at least one of the sharkâ€™s allies is
within 5 feet of the creature and the ally doesnâ€™t have
the Incapacitated condition.
Water Breathing. The shark can breathe only underwater.
Actions
Bite. Melee Attack Roll: +4, reach 5 ft. Hit: 7 (2d4 + 2)
Piercing damage.</t>
  </si>
  <si>
    <t>Rhinoceros</t>
  </si>
  <si>
    <t>Rhinoceros
Large Beast, Unaligned
AC 13 		                   Initiative âˆ’1 (9)
HP 45 (6d10 + 12)
Speed 40 ft.
MOD SAVE             MOD SAVE           MOD SAVE
Str 21 +5 +5         Dex 8 âˆ’1 âˆ’1          Con 15 +2 +2
Int 2 âˆ’4 âˆ’4          Wis 12 +1 +1         Cha 6 âˆ’2 âˆ’2
Senses Passive Perception 11
Languages None
CR 2 (XP 450; PB +2)
Actions
Gore. Melee Attack Roll: +7, reach 5 ft. Hit: 14 (2d8 +
5) Piercing damage. If target is a Large or smaller crea-
ture and the rhinoceros moved 20+ feet straight toward
it immediately before the hit, the target takes an extra 9
(2d8) Piercing damage and has the Prone condition.</t>
  </si>
  <si>
    <t>Riding Horse</t>
  </si>
  <si>
    <t>Riding Horse
Large Beast, Unaligned
AC 11 		                   Initiative +1 (11)
HP 13 (2d10 + 2)
Speed 60 ft.
MOD SAVE
Str 16 +3 +3
MOD SAVE
Dex 13 +1 +1
MOD SAVE
Con 12 +1 +1
Int 2 âˆ’4 âˆ’4          Wis 11 +0 +0         Cha 7 âˆ’2 âˆ’2
Senses Passive Perception 10
Languages None
CR 1/4 (XP 50; PB +2)
Actions
Hooves. Melee Attack Roll: +5, reach 5 ft. Hit: 7 (1d8
+ 3) Bludgeoning damage.</t>
  </si>
  <si>
    <t>Saber-Toothed Tiger</t>
  </si>
  <si>
    <t>Perception +5, Stealth +7</t>
  </si>
  <si>
    <t>Saber-Toothed Tiger
Large Beast, Unaligned
AC 13 		                   Initiative +3 (13)
HP 52 (7d10 + 14)
Speed 40 ft.
MOD SAVE             MOD SAVE           MOD SAVE
Str 18 +4 +6         Dex 17 +3 +5         Con 15 +2 +2
Int 3 âˆ’4 âˆ’4          Wis 12 +1 +1         Cha 8 âˆ’1 âˆ’1
Skills Perception +5, Stealth +7
Senses Darkvision 60 ft.; Passive Perception 15
Languages None
CR 2 (XP 450; PB +2)
Traits
Running Leap. With a 10-foot running start, the tiger
can Long Jump up to 25 feet.
Actions
Multiattack. The tiger makes two Rend attacks.
Rend. Melee Attack Roll: +6, reach 5 ft. Hit: 11 (2d6
+ 4) Slashing damage.
Bonus Actions
Nimble Escape. The tiger takes the Disengage or Hide
action.</t>
  </si>
  <si>
    <t>Scorpion</t>
  </si>
  <si>
    <t>Blindsight 10 ft.; Passive Perception 9</t>
  </si>
  <si>
    <t>Scorpion
Tiny Beast, Unaligned
AC 11 		                   Initiative +0 (10)
HP 1 (1d4 âˆ’ 1)
Speed 10 ft.
MOD SAVE             MOD SAVE           MOD SAVE
Str 2 âˆ’4 âˆ’4          Dex 11 +0 +0         Con 8 âˆ’1 âˆ’1
Int 1 âˆ’5 âˆ’5          Wis 8 âˆ’1 âˆ’1          Cha 2 âˆ’4 âˆ’4
Senses Blindsight 10 ft.; Passive Perception 9
Languages None
CR 0 (XP 10; PB +2)
Actions
Sting. Melee Attack Roll: +2, reach 5 ft. Hit: 1 Piercing
damage plus 3 (1d6) Poison damage.</t>
  </si>
  <si>
    <t>Seahorse</t>
  </si>
  <si>
    <t>Speed 5 ft., Swim 20 ft.</t>
  </si>
  <si>
    <t>Perception +2, Stealth +5</t>
  </si>
  <si>
    <t>Seahorse
Tiny Beast, Unaligned
AC 12 		                   Initiative +1 (11)
HP 1 (1d4 âˆ’ 1)
Speed 5 ft., Swim 20 ft.
MOD SAVE             MOD SAVE           MOD SAVE
Str 1 âˆ’5 âˆ’5          Dex 12 +1 +1         Con 8 âˆ’1 âˆ’1
Int 1 âˆ’5 âˆ’5          Wis 10 +0 +0         Cha 2 âˆ’4 âˆ’4
Skills Perception +2, Stealth +5
Senses Passive Perception 12
Languages None
CR 0 (XP 0; PB +2)
Traits
Water Breathing. The seahorse can breathe only
underwater.
Actions
Bubble Dash. While underwater, the seahorse moves
up to its Swim Speed without provoking Opportu-
nity Attacks.</t>
  </si>
  <si>
    <t>Spider</t>
  </si>
  <si>
    <t>Darkvision 30 ft.; Passive Perception 10</t>
  </si>
  <si>
    <t>Spider
Tiny Beast, Unaligned
AC 12 		                   Initiative +2 (12)
HP 1 (1d4 âˆ’ 1)
Speed 20 ft., Climb 20 ft.
MOD SAVE             MOD SAVE           MOD SAVE
Str 2 âˆ’4 âˆ’4          Dex 14 +2 +2         Con 8 âˆ’1 âˆ’1
Int 1 âˆ’5 âˆ’5          Wis 10 +0 +0         Cha 2 âˆ’4 âˆ’4
Skills Stealth +4
Senses Darkvision 30 ft.; Passive Perception 10
Languages None
CR 0 (XP 10; PB +2)
Traits
Spider Climb. The spider can climb difficult surfaces,
including along ceilings, without needing to make an
ability check.
Web Walker. The spider ignores movement restrictions
caused by webs, and the spider knows the location of
any other creature in contact with the same web.
Actions
Bite. Melee Attack Roll: +4, reach 5 ft. Hit: 1 Piercing
damage plus 2 (1d4) Poison damage.</t>
  </si>
  <si>
    <t>Swarm of Bats</t>
  </si>
  <si>
    <t>Swarm of Tiny Beasts</t>
  </si>
  <si>
    <t>Charmed, Frightened, Grappled, Paralyzed, Petrified, Prone, Restrained, Stunned</t>
  </si>
  <si>
    <t>Swarm of Bats
Large Swarm of Tiny Beasts, Unaligned
AC 12		                    Initiative +2 (12)
HP 11 (2d10)
Speed 5 ft., Fly 30 ft.
MOD SAVE
Str 5 âˆ’3 âˆ’3
MOD SAVE
Dex 15 +2 +2
MOD SAVE
Con 10 +0 +0
Int 2 âˆ’4 âˆ’4          Wis 12 +1 +1        Cha 4 âˆ’3 âˆ’3
Resistances Bludgeoning, Piercing, Slashing
Immunities Charmed, Frightened, Grappled, Paralyzed,
Petrified, Prone, Restrained, Stunned
Senses Blindsight 60 ft.; Passive Perception 11
Languages None
CR 1/4 (XP 50; PB +2)
Traits
Swarm. The swarm can occupy another creatureâ€™s
space and vice versa, and the swarm can move through
any opening large enough for a Tiny bat. The swarm
canâ€™t regain Hit Points or gain Temporary Hit Points.
Actions
Bites. Melee Attack Roll: +4, reach 5 ft. Hit: 5 (2d4)
Piercing damage, or 2 (1d4) Piercing damage if the
swarm is Bloodied.</t>
  </si>
  <si>
    <t>Swarm of Insects</t>
  </si>
  <si>
    <t>Speed 20 ft., Climb or Fly 20 ft. (GMâ€™s choice)</t>
  </si>
  <si>
    <t>Swarm of Insects
Medium Swarm of Tiny Beasts, Unaligned
AC 11                Initiative +1 (11)
HP 19 (3d8 + 6)
Speed 20 ft., Climb or Fly 20 ft. (GMâ€™s choice)
MOD SAVE            MOD SAVE            MOD SAVE
Str 3 âˆ’4 âˆ’4          Dex 13 +1 +1        Con 14 +2 +2
Int 1 âˆ’5 âˆ’5          Wis 7 âˆ’2 âˆ’2         Cha 1 âˆ’5 âˆ’5
Resistances Bludgeoning, Piercing, Slashing
Immunities Charmed, Frightened, Grappled, Paralyzed,
Petrified, Prone, Restrained, Stunned
Senses Blindsight 30 ft.; Passive Perception 8
Languages None
CR 1/2 (XP 100; PB +2)
Traits
Spider Climb. If the swarm has a Climb Speed, the
swarm can climb difficult surfaces, including along ceil-
ings, without needing to make an ability check.
Swarm. The swarm can occupy another creatureâ€™s
space and vice versa, and the swarm can move through
any opening large enough for a Tiny insect. The swarm
canâ€™t regain Hit Points or gain Temporary Hit Points.
Actions
Bites. Melee Attack Roll: +3, reach 5 ft. Hit: 6 (2d4 + 1)
Poison damage, or 3 (1d4 + 1) Poison damage if the
swarm is Bloodied.</t>
  </si>
  <si>
    <t>Swarm of Piranhas</t>
  </si>
  <si>
    <t>28 (8d8 âˆ’ 8)</t>
  </si>
  <si>
    <t>Swarm of Piranhas
Medium Swarm of Tiny Beasts, Unaligned
AC 13		                    Initiative +3 (13)
HP 28 (8d8 âˆ’ 8)
Speed 5 ft., Swim 40 ft.
MOD SAVE            MOD SAVE            MOD SAVE
Str 13 +1 +1         Dex 16 +3 +3         Con 9 âˆ’1 âˆ’1
Int 1 âˆ’5 âˆ’5          Wis 7 âˆ’2 âˆ’2          Cha 2 âˆ’4 âˆ’4
Resistances Bludgeoning, Piercing, Slashing
Immunities Charmed, Frightened, Grappled, Paralyzed,
Petrified, Prone, Restrained, Stunned
Senses Darkvision 60 ft.; Passive Perception 8
Languages None
CR 1 (XP 200; PB +2)
Traits
Swarm. The swarm can occupy another creatureâ€™s
space and vice versa, and the swarm can move
through any opening large enough for a Tiny piranha.
The swarm canâ€™t regain Hit Points or gain Temporary
Hit Points.
Water Breathing. The swarm can breathe only
underwater.
Actions
Bites. Melee Attack Roll: +5 (with Advantage if the
target doesnâ€™t have all its Hit Points), reach 5 ft. Hit: 8
(2d4 + 3) Piercing damage, or 5 (1d4 + 3) Piercing dam-
age if the swarm is Bloodied.</t>
  </si>
  <si>
    <t>Swarm of Rats</t>
  </si>
  <si>
    <t>14 (4d8 âˆ’ 4)</t>
  </si>
  <si>
    <t>Swarm of Rats
Medium Swarm of Tiny Beasts, Unaligned
AC 10		                    Initiative +0 (10)
HP 14 (4d8 âˆ’ 4)
Speed 30 ft., Climb 30 ft.
MOD SAVE            MOD SAVE            MOD SAVE
Str 9 âˆ’1 âˆ’1          Dex 11 +0 +2         Con 9 âˆ’1 âˆ’1
Int 2 âˆ’4 âˆ’4          Wis 10 +0 +0         Cha 3 âˆ’4 âˆ’4
Resistances Bludgeoning, Piercing, Slashing
Immunities Charmed, Frightened, Grappled, Paralyzed,
Petrified, Prone, Restrained, Stunned
Senses Darkvision 30 ft.; Passive Perception 10
Languages None
CR 1/4 (XP 50; PB +2)
Traits
Swarm. The swarm can occupy another creatureâ€™s
space and vice versa, and the swarm can move through
any opening large enough for a Tiny rat. The swarm
canâ€™t regain Hit Points or gain Temporary Hit Points.
Actions
Bites. Melee Attack Roll: +2, reach 5 ft. Hit: 5 (2d4)
Piercing damage, or 2 (1d4) Piercing damage if the
swarm is Bloodied.</t>
  </si>
  <si>
    <t>Swarm of Ravens</t>
  </si>
  <si>
    <t>Swarm of Ravens
Medium Swarm of Tiny Beasts, Unaligned
AC 12		                    Initiative +2 (12)
HP 11 (2d8 + 2)
Speed 10 ft., Fly 50 ft.
MOD SAVE            MOD SAVE           MOD SAVE
Str 6 âˆ’2 âˆ’2           Dex 14 +2 +2        Con 12 +1 +1
Int 5 âˆ’3 âˆ’3           Wis 12 +1 +1        Cha 6 âˆ’2 âˆ’2
Skills Perception +5
Resistances Bludgeoning, Piercing, Slashing
Immunities Charmed, Frightened, Grappled, Paralyzed,
Petrified, Prone, Restrained, Stunned
Senses Passive Perception 15
Languages None
CR 1/4 (XP 50; PB +2)
Traits
Swarm. The swarm can occupy another creatureâ€™s
space and vice versa, and the swarm can move through
any opening large enough for a Tiny raven. The swarm
canâ€™t regain Hit Points or gain Temporary Hit Points.
Actions
Beaks. Melee Attack Roll: +4, reach 5 ft. Hit: 5 (1d6
+ 2) Piercing damage, or 2 (1d4) Piercing damage if the
swarm is Bloodied.
Cacophony (Recharge 6). Wisdom Saving Throw: DC
10, one creature in the swarmâ€™s space. Failure: The
target has the Deafened condition until the start of the
swarmâ€™s next turn. While Deafened, the target also has
Disadvantage on ability checks and attack rolls.</t>
  </si>
  <si>
    <t>Swarm of Venomous Snakes</t>
  </si>
  <si>
    <t>Blindsight 10 ft.; Passive Perception 10</t>
  </si>
  <si>
    <t>Swarm of Venomous Snakes
Medium Swarm of Tiny Beasts, Unaligned
AC 14		                   Initiative +4 (14)
HP 36 (8d8)
Speed 30 ft., Swim 30 ft.
MOD SAVE            MOD SAVE           MOD SAVE
Str 8 âˆ’1 âˆ’1           Dex 18 +4 +4        Con 11 +0 +0
Int 1 âˆ’5 âˆ’5           Wis 10 +0 +0        Cha 3 âˆ’4 âˆ’4
Resistances Bludgeoning, Piercing, Slashing
Immunities Charmed, Frightened, Grappled, Paralyzed,
Petrified, Prone, Restrained, Stunned
Senses Blindsight 10 ft.; Passive Perception 10
Languages None
CR 2 (XP 450; PB +2)
Traits
Swarm. The swarm can occupy another creatureâ€™s
space and vice versa, and the swarm can move through
any opening large enough for a Tiny snake. The swarm
canâ€™t regain Hit Points or gain Temporary Hit Points.
Actions
Bites. Melee Attack Roll: +6, reach 5 ft. Hit: 8 (1d8 + 4)
Piercing damageâ€”or 6 (1d4 + 4) Piercing damage if the
swarm is Bloodiedâ€”plus 10 (3d6) Poison damage.</t>
  </si>
  <si>
    <t>Tiger</t>
  </si>
  <si>
    <t>30 (4d10 + 8)</t>
  </si>
  <si>
    <t>Tiger
Large Beast, Unaligned
AC 13 		                  Initiative +3 (13)
HP 30 (4d10 + 8)
Speed 40 ft.
MOD SAVE             MOD SAVE           MOD SAVE
Str 17 +3 +3         Dex 16 +3 +3         Con 14 +2 +2
Int 3 âˆ’4 âˆ’4          Wis 12 +1 +1         Cha 8 âˆ’1 âˆ’1
Skills Perception +3, Stealth +7
Senses Darkvision 60 ft.; Passive Perception 13
Languages None
CR 1 (XP 200; PB +2)
Actions
Rend. Melee Attack Roll: +5, reach 5 ft. Hit: 10 (2d6
+ 3) Slashing damage. If the target is a Large or smaller
creature, it has the Prone condition.
Bonus Actions
Nimble Escape. The tiger takes the Disengage or
Hide action.</t>
  </si>
  <si>
    <t>Triceratops</t>
  </si>
  <si>
    <t>114 (12d12 + 36)</t>
  </si>
  <si>
    <t>Triceratops
Huge Beast (Dinosaur), Unaligned
AC 14 		                  Initiative âˆ’1 (9)
HP 114 (12d12 + 36)
Speed 50 ft.
MOD SAVE             MOD SAVE           MOD SAVE
Str 22 +6 +6         Dex 9 âˆ’1 âˆ’1          Con 17 +3 +3
Int 2 âˆ’4 âˆ’4          Wis 11 +0 +0         Cha 5 âˆ’3 âˆ’3
Senses Passive Perception 10
Languages None
CR 5 (XP 1,800; PB +3)
Actions
Multiattack. The triceratops makes two Gore attacks.
Gore. Melee Attack Roll: +9, reach 5 ft. Hit: 19 (2d12
+ 6) Piercing damage. If the target is Huge or smaller
and the triceratops moved 20+ feet straight toward it
immediately before the hit, the target takes an extra 9
(2d8) Piercing damage and has the Prone condition.</t>
  </si>
  <si>
    <t>Tyrannosaurus Rex</t>
  </si>
  <si>
    <t>136 (13d12 + 52)</t>
  </si>
  <si>
    <t>Tyrannosaurus Rex
Huge Beast (Dinosaur), Unaligned
AC 13		                    Initiative +3 (13)
HP 136 (13d12 + 52)
Speed 50 ft.
MOD SAVE             MOD SAVE           MOD SAVE
Str 25 +7 +10 Dex 10 +0 +0                Con 19 +4 +4
Int 2 âˆ’4 âˆ’4 Wis 12 +1 +4                  Cha 9 âˆ’1 âˆ’1
Skills Perception +4
Senses Passive Perception 14
Languages None
CR 8 (XP 3,900; PB +3)
Actions
Multiattack. The tyrannosaurus makes one Bite attack
and one Tail attack.
Bite. Melee Attack Roll: +10, reach 10 ft. Hit: 33 (4d12
+ 7) Piercing damage. If the target is a Large or smaller
creature, it has the Grappled condition (escape DC 17).
While Grappled, the target has the Restrained condition
and canâ€™t be targeted by the tyrannosaurusâ€™s Tail.
Tail. Melee Attack Roll: +10, reach 15 ft. Hit: 25 (4d8
+ 7) Bludgeoning damage. If the target is a Huge or
smaller creature, it has the Prone condition.</t>
  </si>
  <si>
    <t>Venomous Snake</t>
  </si>
  <si>
    <t>Venomous Snake
Tiny Beast, Unaligned
AC 12 		                  Initiative +2 (12)
HP 5 (2d4)
Speed 30 ft., Swim 30 ft.
MOD SAVE             MOD SAVE           MOD SAVE
Str 2 âˆ’4 âˆ’4           Dex 15 +2 +2        Con 11 +0 +0
Int 1 âˆ’5 âˆ’5           Wis 10 +0 +0        Cha 3 âˆ’4 âˆ’4
Senses Blindsight 10 ft.; Passive Perception 10
Languages None
CR 1/8 (XP 25; PB +2)
Actions
Bite. Melee Attack Roll: +4, reach 5 ft. Hit: 4 (1d4 + 2)
Piercing damage plus 3 (1d6) Poison damage.</t>
  </si>
  <si>
    <t>Vulture</t>
  </si>
  <si>
    <t>Vulture
Medium Beast, Unaligned
AC 10 		                   Initiative +0 (10)
HP 5 (1d8 + 1)
Speed 10 ft., Fly 50 ft.
MOD SAVE
Str 7 âˆ’2 âˆ’2
MOD SAVE
Dex 10 +0 +0
MOD SAVE
Con 13 +1 +1
Int 2 âˆ’4 âˆ’4          Wis 12 +1 +1          Cha 4 âˆ’3 âˆ’3
Skills Perception +3
Senses Passive Perception 13
Languages None
CR 0 (XP 10; PB +2)
Traits
Pack Tactics. The vulture has Advantage on an attack
roll against a creature if at least one of the vultureâ€™s al-
lies is within 5 feet of the creature and the ally doesnâ€™t
have the Incapacitated condition.
Actions
Beak. Melee Attack Roll: +2, reach 5 ft. Hit: 2 (1d4)
Piercing damage.</t>
  </si>
  <si>
    <t>Warhorse</t>
  </si>
  <si>
    <t>Warhorse
Large Beast, Unaligned
AC 11 		                    Initiative +1 (11)
HP 19 (3d10 + 3)
Speed 60 ft.
MOD SAVE             MOD SAVE             MOD SAVE
Str 18 +4 +4         Dex 12 +1 +1          Con 13 +1 +1
Int 2 âˆ’4 âˆ’4          Wis 12 +1 +3          Cha 7 âˆ’2 âˆ’2
Senses Passive Perception 11
Languages None
CR 1/2 (XP 100; PB +2)
Actions
Hooves. Melee Attack Roll: +6, reach 5 ft. Hit: 9 (2d4 +
4) Bludgeoning damage. If the target is a Large or smaller
creature and the horse moved 20+ feet straight toward
it immediately before the hit, the target takes an extra 5
(2d4) Bludgeoning damage and has the Prone condition.</t>
  </si>
  <si>
    <t>Weasel</t>
  </si>
  <si>
    <t>Weasel
Tiny Beast, Unaligned
AC 13 		                   Initiative +3 (13)
HP 1 (1d4 âˆ’ 1)
Speed 30 ft., Climb 30 ft.
MOD SAVE             MOD SAVE             MOD SAVE
Str 3 âˆ’4 âˆ’4          Dex 16 +3 +3          Con 8 âˆ’1 âˆ’1
Int 2 âˆ’4 âˆ’4          Wis 12 +1 +1          Cha 3 âˆ’4 âˆ’4
Skills Acrobatics +5, Perception +3, Stealth +5
Senses Darkvision 60 ft.; Passive Perception 13
Languages None
CR 0 (XP 10; PB +2)
Actions
Bite. Melee Attack Roll: +5, reach 5 ft. Hit: 1 Piercing
damage.</t>
  </si>
  <si>
    <t>Wolf</t>
  </si>
  <si>
    <t>Wolf
Medium Beast, Unaligned
AC 12 		                   Initiative +2 (12)
HP 11 (2d8 + 2)
Speed 40 ft.
MOD SAVE             MOD SAVE            MOD SAVE
Str 14 +2 +2         Dex 15 +2 +2         Con 12 +1 +1
Int 3 âˆ’4 âˆ’4          Wis 12 +1 +1         Cha 6 âˆ’2 âˆ’2
Skills Perception +5, Stealth +4
Senses Darkvision 60 ft.; Passive Perception 15
Languages None
CR 1/4 (XP 50; PB +2)
Traits
Pack Tactics. The wolf has Advantage on attack rolls
against a creature if at least one of the wolfâ€™s allies is
within 5 feet of the creature and the ally doesnâ€™t have
the Incapacitated condition.
Actions
Bite. Melee Attack Roll: +4, reach 5 ft. Hit: 5 (1d6 + 2)
Piercing damage. If the target is a Medium or smaller
creature, it has the Prone condition.</t>
  </si>
  <si>
    <t>Types</t>
  </si>
  <si>
    <t>Count</t>
  </si>
  <si>
    <t>Other</t>
  </si>
  <si>
    <t>Sum</t>
  </si>
  <si>
    <t>Average</t>
  </si>
  <si>
    <t>Running Total</t>
  </si>
  <si>
    <t>Aboleth
Large Aberration, Lawful Evil
AC 17		                   Initiative +7 (17)
HP 150 (20d10 + 40)
Speed 10 ft., Swim 40 ft.
MOD SAVE              MOD SAVE           MOD SAVE
Str 21 +5 +5         Dex 9 âˆ’1 +3           Con 15 +2 +6
Int 18 +4 +8         Wis 15 +2 +6          Cha 18 +4 +4
Skills History +12, Perception +10
Senses Darkvision 120 ft.; Passive Perception 20
Languages Deep Speech; telepathy 120 ft.
CR 10 (XP 5,900, or 7,200 in lair; PB +4)
Traits
Amphibious. The aboleth can breathe air and water.
Eldritch Restoration. If destroyed, the aboleth gains
a new body in 5d10 days, reviving with all its Hit
Points in the Far Realm or another location chosen
by the GM.
Legendary Resistance (3/Day, or 4/Day in Lair). If
the aboleth fails a saving throw, it can choose to suc-
ceed instead.
Mucus Cloud. While underwater, the aboleth is sur-
rounded by mucus. Constitution Saving Throw: DC 14,
each creature in a 5-foot Emanation originating from
the aboleth at the end of the aboleth's turn. Failure: The
target is cursed. Until the curse ends, the target's skin
becomes slimy, the target can breathe air and water,
and it can't regain Hit Points unless it is underwater.
While the cursed creature is outside a body of water,
the creature takes 6 (1d12) Acid damage at the end of
every 10 minutes unless moisture is applied to its skin
before those minutes have passed.
Probing Telepathy. If a creature the aboleth can see
communicates telepathically with the aboleth, the abo-
leth learns the creature's greatest desires.
Actions
Multiattack. The aboleth makes two Tentacle attacks
and uses either Consume Memories or Dominate Mind
if available.
Tentacle. Melee Attack Roll: +9, reach 15 ft. Hit: 12
(2d6 + 5) Bludgeoning damage. If the target is a Large
or smaller creature, it has the Grappled condition (es-
cape DC 14) from one of four tentacles.
Consume Memories. Intelligence Saving Throw: DC 16,
one creature within 30 feet that is Charmed or Grap-
pled by the aboleth. Failure: 10 (3d6) Psychic damage.
Success: Half damage. Failure or Success: The aboleth
gains the target's memories if the target is a Humanoid
and is reduced to 0 Hit Points by this action.
Dominate Mind (2/Day). Wisdom Saving Throw: DC
16, one creature the aboleth can see within 30 feet.
Failure: The target has the Charmed condition until
the aboleth dies or is on a different plane of existence
from the target. While Charmed, the target acts as an
ally to the aboleth and is under its control while within
60 feet of it. In addition, the aboleth and the target
can communicate telepathically with each other over
any distance.
The target repeats the save whenever it takes damage
as well as after every 24 hours it spends at least 1 mile
away from the aboleth, ending the effect on itself on
a success.
Legendary Actions
Legendary Action Uses: 3 (4 in Lair). Immediately after
another creature's turn, the aboleth can expend a use to
take one of the following actions. The aboleth regains all
expended uses at the start of each of its turns.
Lash. The aboleth makes one Tentacle attack.
Psychic Drain. If the aboleth has at least one creature
Charmed or Grappled, it uses Consume Memories and
regains 5 (1d10) Hit Points.</t>
  </si>
  <si>
    <t>Air Elemental
Large Elemental, Neutral
AC 15		                      Initiative +5 (15)
HP 90 (12d10 + 24)
Speed 10 ft., Fly 90 ft. (hover)
MOD SAVE              MOD SAVE           MOD SAVE
Str 14 +2 +2          Dex 20 +5 +5         Con 14 +2 +2
Int 6 âˆ’2 âˆ’2           Wis 10 +0 +0         Cha 6 âˆ’2 âˆ’2
Resistances Bludgeoning, Lightning, Piercing, Slashing
Immunities Poison, Thunder; Exhaustion, Grappled,
Paralyzed, Petrified, Poisoned, Prone, Restrained,
Unconscious
Senses Darkvision 60 ft.; Passive Perception 10
Languages Primordial (Auran)
CR 5 (XP 1,800; PB +3)
Traits
Air Form. The elemental can enter a creature's space
and stop there. It can move through a space as narrow
as 1 inch without expending extra movement to do so.
Actions
Multiattack. The elemental makes two Thunderous
Slam attacks.
Thunderous Slam. Melee Attack Roll: +8, reach 10 ft.
Hit: 14 (2d8 + 5) Thunder damage.
Whirlwind (Recharge 4â€“6). Strength Saving Throw: DC
13, one Medium or smaller creature in the elemental's
space. Failure: 24 (4d10 + 2) Thunder damage, and the
target is pushed up to 20 feet straight away from the
elemental and has the Prone condition. Success: Half
damage only.</t>
  </si>
  <si>
    <t>Animated Rug of Smothering
Large Construct, Unaligned
AC 12		                     Initiative +4 (14)
HP 27 (5d10)
Speed 10 ft.
MOD SAVE             MOD SAVE           MOD SAVE
Str 17 +3 +3         Dex 14 +2 +2         Con 10 +0 +0
Int 1 âˆ’5 âˆ’5          Wis 3 âˆ’4 âˆ’4          Cha 1 âˆ’5 âˆ’5
Immunities Poison, Psychic; Charmed, Deafened,
Exhaustion, Frightened, Paralyzed, Petrified, Poisoned
Senses Blindsight 60 ft.; Passive Perception 6
Languages None
CR 2 (XP 450; PB +2)
Actions
Smother. Melee Attack Roll: +5, reach 5 ft. Hit: 10 (2d6
+ 3) Bludgeoning damage. If the target is a Medium or
smaller creature, the rug can give it the Grappled con-
dition (escape DC 13) instead of dealing damage. Until
the grapple ends, the target has the Blinded and Re-
strained conditions, is suffocating, and takes 10 (2d6 +
3) Bludgeoning damage at the start of each of its turns.
The rug can smother only one creature at a time.
While grappling the target, the rug can't take this ac-
tion, the rug halves the damage it takes (round down),
and the target takes the same amount of damage.</t>
  </si>
  <si>
    <t>Common, Thieves' Cant</t>
  </si>
  <si>
    <t>Assassin
Medium or Small Humanoid, Neutral
AC 16		                    Initiative +10 (20)
HP 97 (15d8 + 30)
Speed 30 ft.
MOD SAVE             MOD SAVE            MOD SAVE
Str 11 +0 +0           Dex 18 +4 +7       Con 14 +2 +2
Int 16 +3 +6           Wis 11 +0 +0       Cha 10 +0 +0
Skills Acrobatics +7, Perception +6, Stealth +10
Resistances Poison
Gear Light Crossbow, Shortsword, Studded Leather Armor
Senses Passive Perception 16
Languages Common, Thieves' Cant
CR 8 (XP 3,900; PB +3)
Traits
Evasion. If the assassin is subjected to an effect that
allows it to make a Dexterity saving throw to take only
half damage, the assassin instead takes no damage if it
succeeds on the save and only half damage if it fails. It
can't use this trait if it has the Incapacitated condition.
Actions
Multiattack. The assassin makes three attacks, using
Shortsword or Light Crossbow in any combination.
Shortsword. Melee Attack Roll: +7, reach 5 ft. Hit: 7
(1d6 + 4) Piercing damage plus 17 (5d6) Poison dam-
age, and the target has the Poisoned condition until the
start of the assassin's next turn.
Light Crossbow. Ranged Attack Roll: +7, range
80/320 ft. Hit: 8 (1d8 + 4) Piercing damage plus 21
(6d6) Poison damage.
Bonus Actions
Cunning Action. The assassin takes the Dash, Disen-
gage, or Hide action.</t>
  </si>
  <si>
    <t>Azer Sentinel
Medium Elemental, Lawful Neutral
AC 17		                    Initiative +1 (11)
HP 39 (6d8 + 12)
Speed 30 ft.
MOD SAVE            MOD SAVE            MOD SAVE
Str 17 +3 +3          Dex 12 +1 +1        Con 15 +2 +4
Int 12 +1 +1          Wis 13 +1 +1        Cha 10 +0 +0
Immunities Fire, Poison; Poisoned
Senses Passive Perception 11
Languages Primordial (Ignan)
CR 2 (XP 450; PB +2)
Traits
Fire Aura. At the end of each of the azer's turns, each
creature of the azer's choice in a 5-foot Emanation orig-
inating from the azer takes 5 (1d10) Fire damage unless
the azer has the Incapacitated condition.
Illumination. The azer sheds Bright Light in a 10-foot
radius and Dim Light for an additional 10 feet.
Actions
Burning Hammer. Melee Attack Roll: +5, reach 5 ft.
Hit: 8 (1d10 + 3) Bludgeoning damage plus 3 (1d6)
Fire damage.</t>
  </si>
  <si>
    <t>Balor
Huge Fiend (Demon), Chaotic Evil
AC 19		                    Initiative +14 (24)
HP 287 (23d12 + 138)
Speed 40 ft., Fly 80 ft.
MOD SAVE            MOD SAVE            MOD SAVE
Str 26 +8 +8          Dex 15 +2 +2        Con 22 +6 +12
Int 20 +5 +5          Wis 16 +3 +9        Cha 22 +6 +6
Skills Perception +9
Resistances Cold, Lightning
Immunities Fire, Poison; Charmed, Frightened, Poisoned
Senses Truesight 120 ft.; Passive Perception 19
Languages Abyssal; telepathy 120 ft.
CR 19 (XP 22,000; PB +6)
Traits
Death Throes. The balor explodes when it dies. Dex-
terity Saving Throw: DC 20, each creature in a 30-foot
Emanation originating from the balor. Failure: 31 (9d6)
Fire damage plus 31 (9d6) Force damage. Success: Half
damage. Failure or Success: If the balor dies outside the
Abyss, it gains a new body instantly, reviving with all its
Hit Points somewhere in the Abyss.
Fire Aura. At the end of each of the balor's turns, each
creature in a 5-foot Emanation originating from the ba-
lor takes 13 (3d8) Fire damage.
Legendary Resistance (3/Day). If the balor fails a saving
throw, it can choose to succeed instead.
Magic Resistance. The balor has Advantage on saving
throws against spells and other magical effects.
Actions
Multiattack. The balor makes one Flame Whip attack
and one Lightning Blade attack.
Flame Whip. Melee Attack Roll: +14, reach 30 ft. Hit:
18 (3d6 + 8) Force damage plus 17 (5d6) Fire damage. If
the target is a Huge or smaller creature, the balor pulls
the target up to 25 feet straight toward itself, and the
target has the Prone condition.
Lightning Blade. Melee Attack Roll: +14, reach 10 ft.
Hit: 21 (3d8 + 8) Force damage plus 22 (4d10) Light-
ning damage, and the target can't take Reactions until
the start of the balor's next turn.
Bonus Actions
Teleport. The balor teleports itself or a willing demon
within 10 feet of itself up to 60 feet to an unoccupied
space the balor can see.</t>
  </si>
  <si>
    <t>Bandit
Medium or Small Humanoid, Neutral
AC 12		                   Initiative +1 (11)
HP 11 (2d8 + 2)
Speed 30 ft.
MOD SAVE           MOD SAVE            MOD SAVE
Str 11 +0 +0         Dex 12 +1 +1        Con 12 +1 +1
Int 10 +0 +0         Wis 10 +0 +0        Cha 10 +0 +0
Gear Leather Armor, Light Crossbow, Scimitar
Senses Passive Perception 10
Languages Common, Thieves' Cant
CR 1/8 (XP 25; PB +2)
Actions
Scimitar. Melee Attack Roll: +3, reach 5 ft. Hit: 4 (1d6
+ 1) Slashing damage.
Light Crossbow. Ranged Attack Roll: +3, range 80/320
ft. Hit: 5 (1d8 + 1) Piercing damage.</t>
  </si>
  <si>
    <t>Bandit Captain
Medium or Small Humanoid, Neutral
AC 15		                   Initiative +3 (13)
HP 52 (8d8 + 16)
Speed 30 ft.
MOD SAVE             MOD SAVE            MOD SAVE
Str 15 +2 +4         Dex 16 +3 +5         Con 14 +2 +2
Int 14 +2 +2         Wis 11 +0 +2         Cha 14 +2 +2
Skills Athletics +4, Deception +4
Gear Pistol, Scimitar, Studded Leather Armor
Senses Passive Perception 10
Languages Common, Thieves' Cant
CR 2 (XP 450; PB +2)
Actions
Multiattack. The bandit makes two attacks, using Scim-
itar and Pistol in any combination.
Scimitar. Melee Attack Roll: +5, reach 5 ft. Hit: 6 (1d6
+ 3) Slashing damage.
Pistol. Ranged Attack Roll: +5, range 30/90 ft. Hit: 8
(1d10 + 3) Piercing damage.
Reactions
Parry. Trigger: The bandit is hit by a melee attack roll
while holding a weapon. Response: The bandit adds 2
to its AC against that attack, possibly causing it to miss.</t>
  </si>
  <si>
    <t>Barbed Devil
Medium Fiend (Devil), Lawful Evil
AC 15		                    Initiative +3 (13)
HP 110 (13d8 + 52)
Speed 30 ft., Climb 30 ft.
MOD SAVE             MOD SAVE            MOD SAVE
Str 16 +3 +6         Dex 17 +3 +3         Con 18 +4 +7
Int 12 +1 +1         Wis 14 +2 +5         Cha 14 +2 +5
Skills Deception +5, Insight +5, Perception +8
Resistances Cold
Immunities Fire, Poison; Poisoned
Senses Darkvision 120 ft. (unimpeded by magical
Darkness); Passive Perception 18
Languages Infernal; telepathy 120 ft.
CR 5 (XP 1,800; PB +3)
Traits
Barbed Hide. At the start of each of its turns, the devil
deals 5 (1d10) Piercing damage to any creature it is
grappling or any creature grappling it.
Diabolical Restoration. If the devil dies outside the
Nine Hells, its body disappears in sulfurous smoke, and
it gains a new body instantly, reviving with all its Hit
Points somewhere in the Nine Hells.
Magic Resistance. The devil has Advantage on saving
throws against spells and other magical effects.
Actions
Multiattack. The devil makes one Claws attack and one
Tail attack, or it makes two Hurl Flame attacks.
Claws. Melee Attack Roll: +6, reach 5 ft. Hit: 10 (2d6
+ 3) Piercing damage. If the target is a Large or smaller
creature, it has the Grappled condition (escape DC 13)
from both claws.
Tail. Melee Attack Roll: +6, reach 10 ft. Hit: 14 (2d10
+ 3) Slashing damage.
Hurl Flame. Ranged Attack Roll: +5, range 150 ft. Hit:
17 (5d6) Fire damage. If the target is a flammable object
that isn't being worn or carried, it starts burning.</t>
  </si>
  <si>
    <t>Bearded Devil
Medium Fiend (Devil), Lawful Evil
AC 13		                     Initiative +2 (12)
HP 58 (9d8 + 18)
Speed 30 ft.
MOD SAVE             MOD SAVE             MOD SAVE
Str 16 +3 +5         Dex 15 +2 +2          Con 15 +2 +4
Int 9 âˆ’1 âˆ’1          Wis 11 +0 +0          Cha 14 +2 +4
Resistances Cold
Immunities Fire, Poison; Frightened, Poisoned
Senses Darkvision 120 ft. (unimpeded by magical
Darkness); Passive Perception 10
Languages Infernal; telepathy 120 ft.
CR 3 (XP 700; PB +2)
Traits
Magic Resistance. The devil has Advantage on saving
throws against spells and other magical effects.
Actions
Multiattack. The devil makes one Beard attack and one
Infernal Glaive attack.
Beard. Melee Attack Roll: +5, reach 5 ft. Hit: 7 (1d8
+ 3) Piercing damage, and the target has the Poisoned
condition until the start of the devil's next turn. Until
this poison ends, the target can't regain Hit Points.
Infernal Glaive. Melee Attack Roll: +5, reach 10 ft. Hit:
8 (1d10 + 3) Slashing damage. If the target is a crea-
ture and doesn't already have an infernal wound, it is
subjected to the following effect. Constitution Saving
Throw: DC 12. Failure: The target receives an infernal
wound. While wounded, the target loses 5 (1d10) Hit
Points at the start of each of its turns. The wound closes
after 1 minute, after a spell restores Hit Points to the
target, or after the target or a creature within 5 feet of it
takes an action to stanch the wound, doing so by suc-
ceeding on a DC 12 Wisdom (Medicine) check.</t>
  </si>
  <si>
    <t>Behir
Huge Monstrosity, Neutral Evil
AC 17		                    Initiative +3 (13)
HP 168 (16d12 + 64)
Speed 50 ft., Climb 50 ft.
MOD SAVE             MOD SAVE             MOD SAVE
Str 23 +6 +6         Dex 16 +3 +3         Con 18 +4 +4
Int 7 âˆ’2 âˆ’2          Wis 14 +2 +2         Cha 12 +1 +1
Skills Perception +6, Stealth +7
Immunities Lightning
Senses Darkvision 90 ft.; Passive Perception 16
Languages Draconic
CR 11 (XP 7,200; PB +4)
Actions
Multiattack. The behir makes one Bite attack and uses
Constrict.
Bite. Melee Attack Roll: +10, reach 10 ft. Hit: 19 (2d12
+ 6) Piercing damage plus 11 (2d10) Lightning damage.
Constrict. Strength Saving Throw: DC 18, one Large or
smaller creature the behir can see within 5 feet. Failure:
28 (5d8 + 6) Bludgeoning damage. The target has the
Grappled condition (escape DC 16), and it has the Re-
strained condition until the grapple ends.
Lightning Breath (Recharge 5â€“6). Dexterity Saving
Throw: DC 16, each creature in a 90-foot-long, 5-foot-
wide Line. Failure: 66 (12d10) Lightning damage. Suc-
cess: Half damage.
Bonus Actions
Swallow. Dexterity Saving Throw: DC 18, one Large or
smaller creature Grappled by the behir (the behir can
have only one creature swallowed at a time). Failure:
The behir swallows the target, which is no longer Grap-
pled. While swallowed, a creature has the Blinded and
Restrained conditions, has Total Cover against attacks
and other effects outside the behir, and takes 21 (6d6)
Acid damage at the start of each of the behir's turns.
If the behir takes 30 damage or more on a single turn
from the swallowed creature, the behir must succeed
on a DC 14 Constitution saving throw at the end of that
turn or regurgitate the creature, which falls in a space
within 10 feet of the behir and has the Prone condition.
If the behir dies, a swallowed creature is no longer Re-
strained and can escape from the corpse by using 15
feet of movement, exiting Prone.</t>
  </si>
  <si>
    <t>Adult Black Dragon
Huge Dragon (Chromatic), Chaotic Evil
AC 19		                      Initiative +12 (22)
HP 195 (17d12 + 85)
Speed 40 ft., Fly 80 ft., Swim 40 ft.
MOD SAVE              MOD SAVE           MOD SAVE
Str 23 +6 +6          Dex 14 +2 +7         Con 21 +5 +5
Int 14 +2 +2          Wis 13 +1 +6         Cha 19 +4 +4
Skills Perception +11, Stealth +7
Immunities Acid
Senses Blindsight 60 ft., Darkvision 120 ft.;
Passive Perception 21
Languages Common, Draconic
CR 14 (XP 11,500, or 13,000 in lair; PB +5)
Traits
Amphibious. The dragon can breathe air and water.
Legendary Resistance (3/Day, or 4/Day in Lair). If
the dragon fails a saving throw, it can choose to suc-
ceed instead.
Actions
Multiattack. The dragon makes three Rend attacks. It
can replace one attack with a use of Spellcasting to cast
Acid Arrow (level 3 version).
Rend. Melee Attack Roll: +11, reach 10 ft. Hit: 13 (2d6
+ 6) Slashing damage plus 4 (1d8) Acid damage.
Acid Breath (Recharge 5â€“6). Dexterity Saving Throw:
DC 18, each creature in a 60-foot-long, 5-foot-
wide Line. Failure: 54 (12d8) Acid damage. Success:
Half damage.
Spellcasting. The dragon casts one of the following
spells, requiring no Material components and using
Charisma as the spellcasting ability (spell save DC 17,
+9 to hit with spell attacks):
At Will: Acid Arrow (level 3 version), Detect Magic, Fear
1/Day Each: Speak with Dead, Vitriolic Sphere
Legendary Actions
Legendary Action Uses: 3 (4 in Lair). Immediately after
another creature's turn, the dragon can expend a use to
take one of the following actions. The dragon regains all
expended uses at the start of each of its turns.
Cloud of Insects. Dexterity Saving Throw: DC 17, one
creature the dragon can see within 120 feet. Failure: 22
(4d10) Poison damage, and the target has Disadvantage
on saving throws to maintain Concentration until the
end of its next turn. Failure or Success: The dragon can't
take this action again until the start of its next turn.
Frightful Presence. The dragon uses Spellcasting to cast
Fear. The dragon can't take this action again until the
start of its next turn.
Pounce. The dragon moves up to half its Speed, and it
makes one Rend attack.</t>
  </si>
  <si>
    <t>Ancient Black Dragon
Gargantuan Dragon (Chromatic), Chaotic Evil
AC 22		                      Initiative +16 (26)
HP 367 (21d20 + 147)
Speed 40 ft., Fly 80 ft., Swim 40 ft.
MOD SAVE              MOD SAVE           MOD SAVE
Str 27 +8 +8          Dex 14 +2 +9         Con 25 +7 +7
Int 16 +3 +3          Wis 15 +2 +9         Cha 22 +6 +6
Skills Perception +16, Stealth +9
Immunities Acid
Senses Blindsight 60 ft., Darkvision 120 ft.;
Passive Perception 26
Languages Common, Draconic
CR 21 (XP 33,000, or 41,000 in lair; PB +7)
Traits
Amphibious. The dragon can breathe air and water.
Legendary Resistance (4/Day, or 5/Day in Lair). If
the dragon fails a saving throw, it can choose to suc-
ceed instead.
Actions
Multiattack. The dragon makes three Rend attacks. It
can replace one attack with a use of Spellcasting to cast
Acid Arrow (level 4 version).
Rend. Melee Attack Roll: +15, reach 15 ft. Hit: 17 (2d8
+ 8) Slashing damage plus 9 (2d8) Acid damage.
Acid Breath (Recharge 5â€“6). Dexterity Saving Throw:
DC 22, each creature in a 90-foot-long, 10-foot-
wide Line. Failure: 67 (15d8) Acid damage. Success:
Half damage.
Spellcasting. The dragon casts one of the following
spells, requiring no Material components and using
Charisma as the spellcasting ability (spell save DC 21,
+13 to hit with spell attacks):
At Will: Acid Arrow (level 4 version), Detect
Magic, Fear
1/Day Each: Create Undead, Speak with Dead, Vitriolic
Sphere (level 5 version)
Legendary Actions
Legendary Action Uses: 3 (4 in Lair). Immediately after
another creature's turn, the dragon can expend a use to
take one of the following actions. The dragon regains all
expended uses at the start of each of its turns.
Cloud of Insects. Dexterity Saving Throw: DC 21, one
creature the dragon can see within 120 feet. Failure: 33
(6d10) Poison damage, and the target has Disadvantage
on saving throws to maintain Concentration until the
end of its next turn. Failure or Success: The dragon can't
take this action again until the start of its next turn.
Frightful Presence. The dragon uses Spellcasting to cast
Fear. The dragon can't take this action again until the
start of its next turn.
Pounce. The dragon moves up to half its Speed, and it
makes one Rend attack.</t>
  </si>
  <si>
    <t>Black Pudding
Large Ooze, Unaligned
AC 7		                     Initiative âˆ’3 (7)
HP 68 (8d10 + 24)
Speed 20 ft., Climb 20 ft.
MOD SAVE             MOD SAVE          MOD SAVE
Str 16 +3 +3         Dex 5 âˆ’3 âˆ’3          Con 16 +3 +3
Int 1 âˆ’5 âˆ’5          Wis 6 âˆ’2 âˆ’2          Cha 1 âˆ’5 âˆ’5
Immunities Acid, Cold, Lightning, Slashing; Charmed,
Deafened, Exhaustion, Frightened, Grappled, Prone,
Restrained
Senses Blindsight 60 ft.; Passive Perception 8
Languages None
CR 4 (XP 1,100; PB +2)
Traits
Amorphous. The pudding can move through a space
as narrow as 1 inch without expending extra move-
ment to do so.
Corrosive Form. A creature that hits the pudding with a
melee attack roll takes 4 (1d8) Acid damage. Nonmag-
ical ammunition is destroyed immediately after hitting
the pudding and dealing any damage. Any nonmagical
weapon takes a cumulative âˆ’1 penalty to attack rolls
immediately after dealing damage to the pudding and
coming into contact with it. The weapon is destroyed if
the penalty reaches âˆ’5. The penalty can be removed by
casting the Mending spell on the weapon.
In 1 minute, the pudding can eat through 2 feet of
nonmagical wood or metal.
Spider Climb. The pudding can climb difficult surfaces,
including along ceilings, without needing to make an
ability check.
Actions
Dissolving Pseudopod. Melee Attack Roll: +5, reach
10 ft. Hit: 17 (4d6 + 3) Acid damage. Nonmagical ar-
mor worn by the target takes a âˆ’1 penalty to the AC it
offers. The armor is destroyed if the penalty reduces its
AC to 10. The penalty can be removed by casting the
Mending spell on the armor.
Reactions
Split. Trigger: While the pudding is Large or Medium
and has 10+ Hit Points, it becomes Bloodied or is sub-
jected to Lightning or Slashing damage. Response: The
pudding splits into two new Black Puddings. Each new
pudding is one size smaller than the original pudding
and acts on its Initiative. The original pudding's Hit
Points are divided evenly between the new puddings
(round down).</t>
  </si>
  <si>
    <t>Blink Dog; understands Elvish and Sylvan but can't speak them</t>
  </si>
  <si>
    <t>Blink Dog
Medium Fey, Lawful Good
AC 13		                     Initiative +3 (13)
HP 22 (4d8 + 4)
Speed 40 ft.
MOD SAVE             MOD SAVE          MOD SAVE
Str 12 +1 +1         Dex 17 +3 +3          Con 12 +1 +1
Int 10 +0 +0         Wis 13 +1 +1          Cha 11 +0 +0
Skills Perception +5, Stealth +5
Senses Darkvision 60 ft.; Passive Perception 15
Languages Blink Dog; understands Elvish and Sylvan but
can't speak them
CR 1/4 (XP 50; PB +2)
Actions
Bite. Melee Attack Roll: +5, reach 5 ft. Hit: 5 (1d4 + 3)
Piercing damage.
Bonus Actions
Teleport (Recharge 4â€“6). The dog teleports up to 40
feet to an unoccupied space it can see.</t>
  </si>
  <si>
    <t>Adult Blue Dragon
Huge Dragon (Chromatic), Lawful Evil
AC 19		                    Initiative +10 (20)
HP 212 (17d12 + 102)
Speed 40 ft., Burrow 30 ft., Fly 80 ft.
MOD SAVE             MOD SAVE          MOD SAVE
Str 25 +7 +7         Dex 10 +0 +5         Con 23 +6 +6
Int 16 +3 +3         Wis 15 +2 +7         Cha 20 +5 +5
Skills Perception +12, Stealth +5
Immunities Lightning
Senses Blindsight 60 ft., Darkvision 120 ft.;
Passive Perception 22
Languages Common, Draconic
CR 16 (XP 15,000, or 18,000 in lair; PB +5)
Traits
Legendary Resistance (3/Day, or 4/Day in Lair). If
the dragon fails a saving throw, it can choose to suc-
ceed instead.
Actions
Multiattack. The dragon makes three Rend attacks. It
can replace one attack with a use of Spellcasting to
cast Shatter.
Rend. Melee Attack Roll: +12, reach 10 ft. Hit: 16 (2d8
+ 7) Slashing damage plus 5 (1d10) Lightning damage.
Lightning Breath (Recharge 5â€“6). Dexterity Saving
Throw: DC 19, each creature in a 90-foot-long, 5-foot-
wide Line. Failure: 60 (11d10) Lightning damage. Suc-
cess: Half damage.
Spellcasting. The dragon casts one of the following
spells, requiring no Material components and using
Charisma as the spellcasting ability (spell save DC 18):
At Will: Detect Magic, Invisibility, Mage Hand, Shatter
1/Day Each: Scrying, Sending
Legendary Actions
Legendary Action Uses: 3 (4 in Lair). Immediately after
another creature's turn, the dragon can expend a use to
take one of the following actions. The dragon regains all
expended uses at the start of each of its turns.
Cloaked Flight. The dragon uses Spellcasting to cast In-
visibility on itself, and it can fly up to half its Fly Speed.
The dragon can't take this action again until the start of
its next turn.
Sonic Boom. The dragon uses Spellcasting to cast Shat-
ter. The dragon can't take this action again until the
start of its next turn.
Tail Swipe. The dragon makes one Rend attack.</t>
  </si>
  <si>
    <t>Ancient Blue Dragon
Gargantuan Dragon (Chromatic), Lawful Evil
AC 22		                    Initiative +14 (24)
HP 481 (26d20 + 208)
Speed 40 ft., Burrow 40 ft., Fly 80 ft.
MOD SAVE              MOD SAVE             MOD SAVE
Str 29 +9 +9          Dex 10 +0 +7 Con 27 +8 +8
Int 18 +4 +4          Wis 17 +3 +10 Cha 25 +7 +7
Skills Perception +17, Stealth +7
Immunities Lightning
Senses Blindsight 60 ft., Darkvision 120 ft.;
Passive Perception 27
Languages Common, Draconic
CR 23 (XP 50,000, or 62,000 in lair; PB +7)
Traits
Legendary Resistance (4/Day, or 5/Day in Lair). If
the dragon fails a saving throw, it can choose to suc-
ceed instead.
Actions
Multiattack. The dragon makes three Rend attacks. It
can replace one attack with a use of Spellcasting to cast
Shatter (level 3 version).
Rend. Melee Attack Roll: +16, reach 15 ft. Hit: 18 (2d8
+ 9) Slashing damage plus 11 (2d10) Lightning damage.
Lightning Breath (Recharge 5â€“6). Dexterity Saving
Throw: DC 23, each creature in a 120-foot-long,
10-foot-wide Line. Failure: 88 (16d10) Lightning dam-
age. Success: Half damage.
Spellcasting. The dragon casts one of the following
spells, requiring no Material components and using
Charisma as the spellcasting ability (spell save DC 22):
At Will: Detect Magic, Invisibility, Mage Hand, Shatter
(level 3 version)
1/Day Each: Scrying, Sending
Legendary Actions
Legendary Action Uses: 3 (4 in Lair). Immediately after
another creature's turn, the dragon can expend a use to
take one of the following actions. The dragon regains all
expended uses at the start of each of its turns.
Cloaked Flight. The dragon uses Spellcasting to cast In-
visibility on itself, and it can fly up to half its Fly Speed.
The dragon can't take this action again until the start of
its next turn.
Sonic Boom. The dragon uses Spellcasting to cast Shat-
ter (level 3 version). The dragon can't take this action
again until the start of its next turn.
Tail Swipe. The dragon makes one Rend attack.</t>
  </si>
  <si>
    <t>Bone Devil
Large Fiend (Devil), Lawful Evil
AC 16		                     Initiative +7 (17)
HP 161 (17d10 + 68)
Speed 40 ft., Fly 40 ft.
MOD SAVE              MOD SAVE             MOD SAVE
Str 18 +4 +8          Dex 16 +3 +3         Con 18 +4 +4
Int 13 +1 +5          Wis 14 +2 +6         Cha 16 +3 +7
Skills Deception +7, Insight +6
Resistances Cold
Immunities Fire, Poison; Poisoned
Senses Darkvision 120 ft. (unimpeded by magical
Darkness); Passive Perception 12
Languages Infernal; telepathy 120 ft.
CR 9 (XP 5,000; PB +4)
Traits
Diabolical Restoration. If the devil dies outside the
Nine Hells, its body disappears in sulfurous smoke, and
it gains a new body instantly, reviving with all its Hit
Points somewhere in the Nine Hells.
Magic Resistance. The devil has Advantage on saving
throws against spells and other magical effects.
Actions
Multiattack. The devil makes two Claw attacks and one
Infernal Sting attack.
Claw. Melee Attack Roll: +8, reach 10 ft. Hit: 13 (2d8
+ 4) Slashing damage.
Infernal Sting. Melee Attack Roll: +8, reach 10 ft. Hit:
15 (2d10 + 4) Piercing damage plus 18 (4d8) Poison
damage, and the target has the Poisoned condition until
the start of the devil's next turn. While Poisoned, the
target can't regain Hit Points.</t>
  </si>
  <si>
    <t>Adult Brass Dragon
Huge Dragon (Metallic), Chaotic Good
AC 18		                    Initiative +10 (20)
HP 172 (15d12 + 75)
Speed 40 ft., Burrow 30 ft., Fly 80 ft.
MOD SAVE            MOD SAVE             MOD SAVE
Str 23 +6 +6         Dex 10 +0 +5        Con 21 +5 +5
Int 14 +2 +2         Wis 13 +1 +6        Cha 17 +3 +3
Skills History +7, Perception +11, Persuasion +8, Stealth +5
Immunities Fire
Senses Blindsight 60 ft., Darkvision 120 ft.;
Passive Perception 21
Languages Common, Draconic
CR 13 (XP 10,000, or 11,500 in lair; PB +5)
Traits
Legendary Resistance (3/Day, or 4/Day in Lair). If
the dragon fails a saving throw, it can choose to suc-
ceed instead.
Actions
Multiattack. The dragon makes three Rend attacks. It
can replace one attack with a use of (A) Sleep Breath or
(B) Spellcasting to cast Scorching Ray.
Rend. Melee Attack Roll: +11, reach 10 ft. Hit: 17 (2d10
+ 6) Slashing damage plus 4 (1d8) Fire damage.
Fire Breath (Recharge 5â€“6). Dexterity Saving Throw:
DC 18, each creature in a 60-foot-long, 5-foot-
wide Line. Failure: 45 (10d8) Fire damage. Success:
Half damage.
Sleep Breath. Constitution Saving Throw: DC 18, each
creature in a 60-foot Cone. Failure: The target has the
Incapacitated condition until the end of its next turn, at
which point it repeats the save. Second Failure: The tar-
get has the Unconscious condition for 10 minutes. This
effect ends for the target if it takes damage or a creature
within 5 feet of it takes an action to wake it.
Spellcasting. The dragon casts one of the following
spells, requiring no Material components and using
Charisma as the spellcasting ability (spell save DC 16):
At Will: Detect Magic, Minor Illusion, Scorching Ray,
Shapechange (Beast or Humanoid form only, no
Temporary Hit Points gained from the spell, and no
Concentration or Temporary Hit Points required to
maintain the spell), Speak with Animals
1/Day Each: Detect Thoughts, Control Weather
Legendary Actions
Legendary Action Uses: 3 (4 in Lair). Immediately after
another creature's turn, the dragon can expend a use to
take one of the following actions. The dragon regains all
expended uses at the start of each of its turns.
Blazing Light. The dragon uses Spellcasting to cast
Scorching Ray.
Pounce. The dragon moves up to half its Speed, and it
makes one Rend attack.
Scorching Sands. Dexterity Saving Throw: DC 16, one
creature the dragon can see within 120 feet. Failure:
27 (6d8) Fire damage, and the target's Speed is halved
until the end of its next turn. Failure or Success: The
dragon can't take this action again until the start of its
next turn.</t>
  </si>
  <si>
    <t>Ancient Brass Dragon
Gargantuan Dragon (Metallic), Chaotic Good
AC 20 		                   Initiative +12 (22)
HP 332 (19d20 + 133)
Speed 40 ft., Burrow 40 ft., Fly 80 ft.
MOD SAVE            MOD SAVE             MOD SAVE
Str 27 +8 +8         Dex 10 +0 +6        Con 25 +7 +7
Int 16 +3 +3         Wis 15 +2 +8        Cha 22 +6 +6
Skills History +9, Perception +14, Persuasion +12, Stealth
+6
Immunities Fire
Senses Blindsight 60 ft., Darkvision 120 ft.;
Passive Perception 24
Languages Common, Draconic
CR 20 (XP 25,000, or 33,000 in lair; PB +6)
Traits
Legendary Resistance (4/Day, or 5/Day in Lair). If
the dragon fails a saving throw, it can choose to suc-
ceed instead.
Actions
Multiattack. The dragon makes three Rend attacks. It
can replace one attack with a use of (A) Sleep Breath or
(B) Spellcasting to cast Scorching Ray (level 3 version).
Rend. Melee Attack Roll: +14, reach 15 ft. Hit: 19 (2d10
+ 8) Slashing damage plus 7 (2d6) Fire damage.
Fire Breath (Recharge 5â€“6). Dexterity Saving Throw:
DC 21, each creature in a 90-foot-long, 5-foot-
wide Line. Failure: 58 (13d8) Fire damage. Success:
Half damage.
Sleep Breath. Constitution Saving Throw: DC 21, each
creature in a 90-foot Cone. Failure: The target has the
Incapacitated condition until the end of its next turn, at
which point it repeats the save. Second Failure: The tar-
get has the Unconscious condition for 10 minutes. This
effect ends for the target if it takes damage or a creature
within 5 feet of it takes an action to wake it.
Spellcasting. The dragon casts one of the following
spells, requiring no Material components and using
Charisma as the spellcasting ability (spell save DC 20):
At Will: Detect Magic, Minor Illusion, Scorching Ray
(level 3 version), Shapechange (Beast or Humanoid
form only, no Temporary Hit Points gained from the
spell, and no Concentration or Temporary Hit Points
required to maintain the spell), Speak with Animals
1/Day Each: Control Weather, Detect Thoughts
Legendary Actions
Legendary Action Uses: 3 (4 in Lair). Immediately after
another creature's turn, the dragon can expend a use to
take one of the following actions. The dragon regains all
expended uses at the start of each of its turns.
Blazing Light. The dragon uses Spellcasting to cast
Scorching Ray (level 3 version).
Pounce. The dragon moves up to half its Speed, and it
makes one Rend attack.
Scorching Sands. Dexterity Saving Throw: DC 20, one
creature the dragon can see within 120 feet. Failure:
36 (8d8) Fire damage, and the target's Speed is halved
until the end of its next turn. Failure or Success: The
dragon can't take this action again until the start of its
next turn.</t>
  </si>
  <si>
    <t>Adult Bronze Dragon
Huge Dragon (Metallic), Lawful Good
AC 18		                      Initiative +10 (20)
HP 212 (17d12 + 102)
Speed 40 ft., Fly 80 ft., Swim 40 ft.
MOD SAVE             MOD SAVE            MOD SAVE
Str 25 +7 +7         Dex 10 +0 +5         Con 23 +6 +6
Int 16 +3 +3         Wis 15 +2 +7         Cha 20 +5 +5
Skills Insight +7, Perception +12, Stealth +5
Immunities Lightning
Senses Blindsight 60 ft., Darkvision 120 ft.;
Passive Perception 22
Languages Common, Draconic
CR 15 (XP 13,000, or 15,000 in lair; PB +5)
Traits
Amphibious. The dragon can breathe air and water.
Legendary Resistance (3/Day, or 4/Day in Lair). If
the dragon fails a saving throw, it can choose to suc-
ceed instead.
Actions
Multiattack. The dragon makes three Rend attacks.
It can replace one attack with a use of (A) Repulsion
Breath or (B) Spellcasting to cast Guiding Bolt (level
2 version).
Rend. Melee Attack Roll: +12, reach 10 ft. Hit: 16 (2d8
+ 7) Slashing damage plus 5 (1d10) Lightning damage.
Lightning Breath (Recharge 5â€“6). Dexterity Saving
Throw: DC 19, each creature in a 90-foot-long, 5-foot-
wide Line. Failure: 55 (10d10) Lightning damage. Suc-
cess: Half damage.
Repulsion Breath. Strength Saving Throw: DC 19, each
creature in a 30-foot Cone. Failure: The target is pushed
up to 60 feet straight away from the dragon and has the
Prone condition.
Spellcasting. The dragon casts one of the following
spells, requiring no Material components and using
Charisma as the spellcasting ability (spell save DC 17,
+10 to hit with spell attacks):
At Will: Detect Magic, Guiding Bolt (level 2 version),
Shapechange (Beast or Humanoid form only, no
Temporary Hit Points gained from the spell, and no
Concentration or Temporary Hit Points required to
maintain the spell), Speak with Animals, Thaumaturgy
1/Day Each: Detect Thoughts, Water Breathing
Legendary Actions
Legendary Action Uses: 3 (4 in Lair). Immediately after
another creature's turn, the dragon can expend a use to
take one of the following actions. The dragon regains all
expended uses at the start of each of its turns.
Guiding Light. The dragon uses Spellcasting to cast
Guiding Bolt (level 2 version).
Pounce. The dragon moves up to half its Speed, and it
makes one Rend attack.
Thunderclap. Constitution Saving Throw: DC 17, each
creature in a 20-foot-radius Sphere centered on a point
the dragon can see within 90 feet. Failure: 10 (3d6)
Thunder damage, and the target has the Deafened con-
dition until the end of its next turn.</t>
  </si>
  <si>
    <t>Ancient Bronze Dragon
Gargantuan Dragon (Metallic), Lawful Good
AC 22		                      Initiative +14 (24)
HP 444 (24d20 + 192)
Speed 40 ft., Fly 80 ft., Swim 40 ft.
MOD SAVE              MOD SAVE           MOD SAVE
Str 29 +9 +9          Dex 10 +0 +7 Con 27 +8 +8
Int 18 +4 +4          Wis 17 +3 +10 Cha 25 +7 +7
Skills Insight +10, Perception +17, Stealth +7
Immunities Lightning
Senses Blindsight 60 ft., Darkvision 120 ft.;
Passive Perception 27
Languages Common, Draconic
CR 22 (XP 41,000, or 50,000 in lair; PB +7)
Traits
Amphibious. The dragon can breathe air and water.
Legendary Resistance (4/Day, or 5/Day in Lair). If
the dragon fails a saving throw, it can choose to suc-
ceed instead.
Actions
Multiattack. The dragon makes three Rend attacks.
It can replace one attack with a use of (A) Repulsion
Breath or (B) Spellcasting to cast Guiding Bolt (level
2 version).
Rend. Melee Attack Roll: +16, reach 15 ft. Hit: 18 (2d8
+ 9) Slashing damage plus 9 (2d8) Lightning damage.
Lightning Breath (Recharge 5â€“6). Dexterity Saving
Throw: DC 23, each creature in a 120-foot-long,
10-foot-wide Line. Failure: 82 (15d10) Lightning dam-
age. Success: Half damage.
Repulsion Breath. Strength Saving Throw: DC 23, each
creature in a 30-foot Cone. Failure: The target is pushed
up to 60 feet straight away from the dragon and has the
Prone condition.
Spellcasting. The dragon casts one of the following
spells, requiring no Material components and using
Charisma as the spellcasting ability (spell save DC 22,
+14 to hit with spell attacks):
At Will: Detect Magic, Guiding Bolt (level 2 version),
Shapechange (Beast or Humanoid form only, no
Temporary Hit Points gained from the spell, and no
Concentration or Temporary Hit Points required to
maintain the spell), Speak with Animals, Thaumaturgy
1/Day Each: Detect Thoughts, Control Water, Scrying,
Water Breathing
Legendary Actions
Legendary Action Uses: 3 (4 in Lair). Immediately after
another creature's turn, the dragon can expend a use to
take one of the following actions. The dragon regains all
expended uses at the start of each of its turns.
Guiding Light. The dragon uses Spellcasting to cast
Guiding Bolt (level 2 version).
Pounce. The dragon moves up to half its Speed, and it
makes one Rend attack.
Thunderclap. Constitution Saving Throw: DC 22, each
creature in a 20-foot-radius Sphere centered on a point
the dragon can see within 120 feet. Failure: 13 (3d8)
Thunder damage, and the target has the Deafened con-
dition until the end of its next turn.</t>
  </si>
  <si>
    <t>Bugbear Stalker
Medium Fey (Goblinoid), Chaotic Evil
AC 15		                    Initiative +2 (12)
HP 65 (10d8 + 20)
Speed 30 ft.
MOD SAVE            MOD SAVE             MOD SAVE
Str 17 +3 +3         Dex 14 +2 +2         Con 14 +2 +4
Int 11 +0 +0         Wis 12 +1 +3         Cha 11 +0 +0
Skills Stealth +6, Survival +3
Gear Chain Shirt, Javelins (6), Morningstar
Senses Darkvision 60 ft.; Passive Perception 11
Languages Common, Goblin
CR 3 (XP 700; PB +2)
Traits
Abduct. The bugbear needn't spend extra movement to
move a creature it is grappling.
Actions
Multiattack. The bugbear makes two Javelin or Morn-
ingstar attacks.
Javelin. Melee or Ranged Attack Roll: +5, reach 10 ft.
or range 30/120 ft. Hit: 13 (3d6 + 3) Piercing damage.
Morningstar. Melee Attack Roll: +5 (with Advantage if
the target is Grappled by the bugbear), reach 10 ft. Hit:
12 (2d8 + 3) Piercing damage.
Bonus Actions
Quick Grapple. Dexterity Saving Throw: DC 13, one
Medium or smaller creature the bugbear can see within
10 feet. Failure: The target has the Grappled condition
(escape DC 13).</t>
  </si>
  <si>
    <t>Bugbear Warrior
Medium Fey (Goblinoid), Chaotic Evil
AC 14		                     Initiative +2 (12)
HP 33 (6d8 + 6)
Speed 30 ft.
MOD SAVE             MOD SAVE           MOD SAVE
Str 15 +2 +2         Dex 14 +2 +2          Con 13 +1 +1
Int 8 âˆ’1 âˆ’1          Wis 11 +0 +0          Cha 9 âˆ’1 âˆ’1
Skills Stealth +6, Survival +2
Gear Hide Armor, Light Hammers (3)
Senses Darkvision 60 ft.; Passive Perception 10
Languages Common, Goblin
CR 1 (XP 200; PB +2)
Traits
Abduct. The bugbear needn't spend extra movement to
move a creature it is grappling.
Actions
Grab. Melee Attack Roll: +4, reach 10 ft. Hit: 9 (2d6
+ 2) Bludgeoning damage. If the target is a Medium
or smaller creature, it has the Grappled condition (es-
cape DC 12).
Light Hammer. Melee or Ranged Attack Roll: +4 (with
Advantage if the target is Grappled by the bugbear),
reach 10 ft. or range 20/60 ft. Hit: 9 (3d4 + 2) Blud-
geoning damage.</t>
  </si>
  <si>
    <t>Bulette
Large Monstrosity, Unaligned
AC 17		                     Initiative +0 (10)
HP 94 (9d10 + 45)
Speed 40 ft., Burrow 40 ft.
MOD SAVE             MOD SAVE           MOD SAVE
Str 19 +4 +4         Dex 11 +0 +0          Con 21 +5 +5
Int 2 âˆ’4 âˆ’4          Wis 10 +0 +0          Cha 5 âˆ’3 âˆ’3
Skills Perception +6
Senses Darkvision 60 ft., Tremorsense 120 ft.;
Passive Perception 16
Languages None
CR 5 (XP 1,800; PB +3)
Actions
Multiattack. The bulette makes two Bite attacks.
Bite. Melee Attack Roll: +7, reach 5 ft. Hit: 17 (2d12
+ 4) Piercing damage.
Deadly Leap. The bulette spends 5 feet of movement
to jump to a space within 15 feet that contains one
or more Large or smaller creatures. Dexterity Saving
Throw: DC 15, each creature in the bulette's destina-
tion space. Failure: 19 (3d12) Bludgeoning damage, and
the target has the Prone condition. Success: Half dam-
age, and the target is pushed 5 feet straight away from
the bulette.
Bonus Actions
Leap. The bulette jumps up to 30 feet by spending 10
feet of movement.</t>
  </si>
  <si>
    <t>Chain Devil
Medium Fiend (Devil), Lawful Evil
AC 15		                    Initiative +5 (15)
HP 85 (10d8 + 40)
Speed 30 ft.
MOD SAVE            MOD SAVE              MOD SAVE
Str 18 +4 +4          Dex 15 +2 +2       Con 18 +4 +7
Int 11 +0 +0          Wis 12 +1 +4       Cha 14 +2 +2
Resistances Bludgeoning, Cold, Piercing, Slashing
Immunities Fire, Poison; Poisoned
Senses Darkvision 120 ft. (unimpeded by magical
Darkness); Passive Perception 11
Languages Infernal; telepathy 120 ft.
CR 8 (XP 3,900; PB +3)
Traits
Diabolical Restoration. If the devil dies outside the
Nine Hells, its body disappears in sulfurous smoke, and
it gains a new body instantly, reviving with all its Hit
Points somewhere in the Nine Hells.
Magic Resistance. The devil has Advantage on saving
throws against spells and other magical effects.
Actions
Multiattack. The devil makes two Chain attacks and
uses Conjure Infernal Chain.
Chain. Melee Attack Roll: +7, reach 10 ft. Hit: 11 (2d6
+ 4) Slashing damage. If the target is a Large or smaller
creature, it has the Grappled condition (escape DC 14)
from one of two chains, and it has the Restrained con-
dition until the grapple ends.
Conjure Infernal Chain. The devil conjures a fiery
chain to bind a creature. Dexterity Saving Throw:
DC 15, one creature the devil can see within 60 feet.
Failure: 9 (2d4 + 4) Fire damage, and the target has
the Restrained condition until the end of the devil's
next turn, at which point the chain disappears. If the
target is Large or smaller, the devil moves the target
up to 30 feet straight toward itself. Success: The chain
disappears.
Reactions
Unnerving Gaze. Trigger: A creature the devil can
see starts its turn within 30 feet of the devil and can
see the devil. Responseâ€”Wisdom Saving Throw: DC
15, the triggering creature. Failure: The target has the
Frightened condition until the end of its turn. Success:
The target is immune to this devil's Unnerving Gaze
for 24 hours.</t>
  </si>
  <si>
    <t>Understands Draconic but can't speak</t>
  </si>
  <si>
    <t>Chimera
Large Monstrosity, Chaotic Evil
AC 14		                    Initiative +0 (10)
HP 114 (12d10 + 48)
Speed 30 ft., Fly 60 ft.
MOD SAVE               MOD SAVE         MOD SAVE
Str 19 +4 +4         Dex 11 +0 +0           Con 19 +4 +4
Int 3 âˆ’4 âˆ’4          Wis 14 +2 +2           Cha 10 +0 +0
Skills Perception +8
Senses Darkvision 60 ft.; Passive Perception 18
Languages Understands Draconic but can't speak
CR 6 (XP 2,300; PB +3)
Actions
Multiattack. The chimera makes one Ram attack, one
Bite attack, and one Claw attack. It can replace the
Claw attack with a use of Fire Breath if available.
Bite. Melee Attack Roll: +7, reach 5 ft. Hit: 11 (2d6 + 4)
Piercing damage, or 18 (4d6 + 4) Piercing damage if the
chimera had Advantage on the attack roll.
Claw. Melee Attack Roll: +7, reach 5 ft. Hit: 7 (1d6 + 4)
Slashing damage.
Ram. Melee Attack Roll: +7, reach 5 ft. Hit: 10 (1d12
+ 4) Bludgeoning damage. If the target is a Medium or
smaller creature, it has the Prone condition.
Fire Breath (Recharge 5â€“6). Dexterity Saving Throw:
DC 15, each creature in a 15-foot Cone. Failure: 31
(7d8) Fire damage. Success: Half damage.</t>
  </si>
  <si>
    <t>Understands Deep Speech but can't speak</t>
  </si>
  <si>
    <t>Chuul
Large Aberration, Chaotic Evil
AC 16		                   Initiative +0 (10)
HP 76 (9d10 + 27)
Speed 30 ft., Swim 30 ft.
MOD SAVE               MOD SAVE         MOD SAVE
Str 19 +4 +4         Dex 10 +0 +0           Con 16 +3 +3
Int 5 âˆ’3 âˆ’3          Wis 11 +0 +0           Cha 5 âˆ’3 âˆ’3
Skills Perception +4
Immunities Poison; Poisoned
Senses Darkvision 60 ft.; Passive Perception 14
Languages Understands Deep Speech but can't speak
CR 4 (XP 1,100; PB +2)
Traits
Amphibious. The chuul can breathe air and water.
Sense Magic. The chuul senses magic within 120 feet of
itself. This trait otherwise works like the Detect Magic
spell but isn't itself magical.
Actions
Multiattack. The chuul makes two Pincer attacks and
uses Paralyzing Tentacles.
Pincer. Melee Attack Roll: +6, reach 10 ft. Hit: 9 (1d10
+ 4) Bludgeoning damage. If the target is a Large or
smaller creature, it has the Grappled condition (escape
DC 14) from one of two pincers.
Paralyzing Tentacles. Constitution Saving Throw: DC
13, one creature Grappled by the chuul. Failure: The
target has the Poisoned condition and repeats the save
at the end of each of its turns, ending the effect on itself
on a success. After 1 minute, it succeeds automatically.
While Poisoned, the target has the Paralyzed condition.</t>
  </si>
  <si>
    <t>Clay Golem
Large Construct, Unaligned
AC 14		                    Initiative +3 (13)
HP 123 (13d10 + 52)
Speed 30 ft.
MOD SAVE            MOD SAVE             MOD SAVE
Str 20 +5 +5         Dex 9 âˆ’1 âˆ’1          Con 18 +4 +4
Int 3 âˆ’4 âˆ’4          Wis 8 âˆ’1 âˆ’1          Cha 1 âˆ’5 âˆ’5
Resistances Bludgeoning, Piercing, Slashing
Immunities Acid, Poison, Psychic; Charmed, Exhaustion,
Frightened, Paralyzed, Petrified, Poisoned
Senses Darkvision 60 ft.; Passive Perception 9
Languages Common plus one other language
CR 9 (XP 5,000; PB +4)
Traits
Acid Absorption. Whenever the golem is subjected to
Acid damage, it takes no damage and instead regains a
number of Hit Points equal to the Acid damage dealt.
Berserk. Whenever the golem starts its turn Bloodied,
roll 1d6. On a 6, the golem goes berserk. On each of
its turns while berserk, the golem attacks the nearest
creature it can see. If no creature is near enough to
move to and attack, the golem attacks an object. Once
the golem goes berserk, it continues to be berserk until
it is destroyed or it is no longer Bloodied.
Immutable Form. The golem can't shape-shift.
Magic Resistance. The golem has Advantage on saving
throws against spells and other magical effects.
Actions
Multiattack. The golem makes two Slam attacks, or it
makes three Slam attacks if it used Hasten this turn.
Slam. Melee Attack Roll: +9, reach 5 ft. Hit: 10 (1d10
+ 5) Bludgeoning damage plus 6 (1d12) Acid damage,
and the target's Hit Point maximum decreases by an
amount equal to the Acid damage taken.
Bonus Actions
Hasten (Recharge 5â€“6). The golem takes the Dash and
Disengage actions.</t>
  </si>
  <si>
    <t>Cloaker
Large Aberration, Chaotic Neutral
AC 14		                    Initiative +5 (15)
HP 91 (14d10 + 14)
Speed 10 ft., Fly 40 ft.
MOD SAVE            MOD SAVE             MOD SAVE
Str 17 +3 +3          Dex 15 +2 +2       Con 12 +1 +1
Int 13 +1 +1          Wis 14 +2 +2       Cha 7 âˆ’2 âˆ’2
Skills Stealth +5
Immunities Frightened
Senses Darkvision 120 ft.; Passive Perception 12
Languages Deep Speech, Undercommon
CR 8 (XP 3,900; PB +3)
Traits
Light Sensitivity. While in Bright Light, the cloaker has
Disadvantage on attack rolls.
Actions
Multiattack. The cloaker makes one Attach attack and
two Tail attacks.
Attach. Melee Attack Roll: +6, reach 5 ft. Hit: 13 (3d6
+ 3) Piercing damage. If the target is a Large or smaller
creature, the cloaker attaches to it. While the cloaker
is attached, the target has the Blinded condition, and
the cloaker can't make Attach attacks against other tar-
gets. In addition, the cloaker halves the damage it takes
(round down), and the target takes the same amount
of damage.
The cloaker can detach itself by spending 5 feet of
movement. The target or a creature within 5 feet of it
can take an action to try to detach the cloaker, doing so
by succeeding on a DC 14 Strength (Athletics) check.
Tail. Melee Attack Roll: +6, reach 10 ft. Hit: 8 (1d10
+ 3) Slashing damage.
Bonus Actions
Moan. Wisdom Saving Throw: DC 13, each creature
in a 60-foot Emanation originating from the cloaker.
Failure: The target has the Frightened condition until
the end of the cloaker's next turn. Success: The target is
immune to this cloaker's Moan for the next 24 hours.
Phantasms (Recharge after a Short or Long Rest). The
cloaker casts the Mirror Image spell, requiring no spell
components and using Wisdom as the spellcasting abil-
ity. The spell ends early if the cloaker starts or ends its
turn in Bright Light.</t>
  </si>
  <si>
    <t>Commoner
Medium or Small Humanoid, Neutral
AC 10		                     Initiative +0 (10)
HP 4 (1d8)
Speed 30 ft.
MOD SAVE             MOD SAVE           MOD SAVE
Str 10 +0 +0         Dex 10 +0 +0          Con 10 +0 +0
Int 10 +0 +0         Wis 10 +0 +0          Cha 10 +0 +0
Gear Club
Senses Passive Perception 10
Languages Common
CR 0 (XP 10; PB +2)
Traits
Training. The commoner has proficiency in one skill of
the GM's choice and has Advantage whenever it makes
an ability check using that skill.
Actions
Club. Melee Attack Roll: +2, reach 5 ft. Hit: 2 (1d4)
Bludgeoning damage.</t>
  </si>
  <si>
    <t>Copper Dragon Wyrmling
Medium Dragon (Metallic), Chaotic Good
AC 16		                     Initiative +3 (13)
HP 22 (4d8 + 4)
Speed 30 ft., Climb 30 ft., Fly 60 ft.
MOD SAVE             MOD SAVE           MOD SAVE
Str 15 +2 +2         Dex 12 +1 +3          Con 13 +1 +1
Int 14 +2 +2         Wis 11 +0 +2          Cha 13 +1 +1
Skills Perception +4, Stealth +3
Immunities Acid
Senses Blindsight 10 ft., Darkvision 60 ft.;
Passive Perception 14
Languages Draconic
CR 1 (XP 200; PB +2)
Actions
Rend. Melee Attack Roll: +4, reach 5 ft. Hit: 7 (1d10
+ 2) Slashing damage.
Acid Breath (Recharge 5â€“6). Dexterity Saving Throw:
DC 11, each creature in a 20-foot-long, 5-foot-
wide Line. Failure: 18 (4d8) Acid damage. Success:
Half damage.
Slowing Breath. Constitution Saving Throw: DC 11,
each creature in a 15-foot Cone. Failure: The target
can't take Reactions; its Speed is halved; and it can take
either an action or a Bonus Action on its turn, not both.
This effect lasts until the end of its next turn.</t>
  </si>
  <si>
    <t>Young Copper Dragon
Large Dragon (Metallic), Chaotic Good
AC 17 		                    Initiative +4 (14)
HP 119 (14d10 + 42)
Speed 40 ft., Climb 40 ft., Fly 80 ft.
MOD SAVE             MOD SAVE           MOD SAVE
Str 19 +4 +4         Dex 12 +1 +4          Con 17 +3 +3
Int 16 +3 +3         Wis 13 +1 +4          Cha 15 +2 +2
Skills Deception +5, Perception +7, Stealth +4
Immunities Acid
Senses Blindsight 30 ft., Darkvision 120 ft.;
Passive Perception 17
Languages Common, Draconic
CR 7 (XP 2,900; PB +3)
Actions
Multiattack. The dragon makes three Rend attacks. It
can replace one attack with a use of Slowing Breath.
Rend. Melee Attack Roll: +7, reach 10 ft. Hit: 15 (2d10
+ 4) Slashing damage.
Acid Breath (Recharge 5â€“6). Dexterity Saving Throw:
DC 14, each creature in a 40-foot-long, 5-foot-
wide Line. Failure: 40 (9d8) Acid damage. Success:
Half damage.
Slowing Breath. Constitution Saving Throw: DC 14,
each creature in a 30-foot Cone. Failure: The target
can't take Reactions; its Speed is halved; and it can take
either an action or a Bonus Action on its turn, not both.
This effect lasts until the end of its next turn.</t>
  </si>
  <si>
    <t>Adult Copper Dragon
Huge Dragon (Metallic), Chaotic Good
AC 18		                     Initiative +11 (21)
HP 184 (16d12 + 80)
Speed 40 ft., Climb 40 ft., Fly 80 ft.
MOD SAVE            MOD SAVE             MOD SAVE
Str 23 +6 +6         Dex 12 +1 +6        Con 21 +5 +5
Int 18 +4 +4         Wis 15 +2 +7        Cha 18 +4 +4
Skills Deception +9, Perception +12, Stealth +6
Immunities Acid
Senses Blindsight 60 ft., Darkvision 120 ft.;
Passive Perception 22
Languages Common, Draconic
CR 14 (XP 11,500, or 13,000 in lair; PB +5)
Traits
Legendary Resistance (3/Day, or 4/Day in Lair). If
the dragon fails a saving throw, it can choose to suc-
ceed instead.
Actions
Multiattack. The dragon makes three Rend attacks. It
can replace one attack with a use of (A) Slowing Breath
or (B) Spellcasting to cast Mind Spike (level 4 version).
Rend. Melee Attack Roll: +11, reach 10 ft. Hit: 17 (2d10
+ 6) Slashing damage plus 4 (1d8) Acid damage.
Acid Breath (Recharge 5â€“6). Dexterity Saving Throw:
DC 18, each creature in an 60-foot-long, 5-foot-
wide Line. Failure: 54 (12d8) Acid damage. Success:
Half damage.
Slowing Breath. Constitution Saving Throw: DC 18,
each creature in a 60-foot Cone. Failure: The target
can't take Reactions; its Speed is halved; and it can take
either an action or a Bonus Action on its turn, not both.
This effect lasts until the end of its next turn.
Spellcasting. The dragon casts one of the following
spells, requiring no Material components and using
Charisma as the spellcasting ability (spell save DC 17):
At Will: Detect Magic, Mind Spike (level 4 version),
Minor Illusion, Shapechange (Beast or Humanoid
form only, no Temporary Hit Points gained from the
spell, and no Concentration or Temporary Hit Points
required to maintain the spell)
1/Day Each: Greater Restoration, Major Image
Legendary Actions
Legendary Action Uses: 3 (4 in Lair). Immediately after
another creature's turn, the dragon can expend a use to
take one of the following actions. The dragon regains all
expended uses at the start of each of its turns.
Giggling Magic. Charisma Saving Throw: DC 17, one
creature the dragon can see within 90 feet. Failure: 24
(7d6) Psychic damage. Until the end of its next turn,
the target rolls 1d6 whenever it makes an ability check
or attack roll and subtracts the number rolled from the
D20 Test. Failure or Success: The dragon can't take this
action again until the start of its next turn.
Mind Jolt. The dragon uses Spellcasting to cast Mind
Spike (level 4 version). The dragon can't take this action
again until the start of its next turn.
Pounce. The dragon moves up to half its Speed, and it
makes one Rend attack.</t>
  </si>
  <si>
    <t>Ancient Copper Dragon
Gargantuan Dragon (Metallic), Chaotic Good
AC 21		                     Initiative +15 (25)
HP 367 (21d20 + 147)
Speed 40 ft., Climb 40 ft., Fly 80 ft.
MOD SAVE             MOD SAVE            MOD SAVE
Str 27 +8 +8         Dex 12 +1 +8 Con 25 +7 +7
Int 20 +5 +5         Wis 17 +3 +10 Cha 22 +6 +6
Skills Deception +13, Perception +17, Stealth +8
Immunities Acid
Senses Blindsight 60 ft., Darkvision 120 ft.;
Passive Perception 27
Languages Common, Draconic
CR 21 (XP 33,000, or 41,000 in lair; PB +7)
Traits
Legendary Resistance (4/Day, or 5/Day in Lair). If
the dragon fails a saving throw, it can choose to suc-
ceed instead.
Actions
Multiattack. The dragon makes three Rend attacks. It
can replace one attack with a use of (A) Slowing Breath
or (B) Spellcasting to cast Mind Spike (level 5 version).
Rend. Melee Attack Roll: +15, reach 15 ft. Hit: 19 (2d10
+ 8) Slashing damage plus 9 (2d8) Acid damage.
Acid Breath (Recharge 5â€“6). Dexterity Saving Throw:
DC 22, each creature in an 90-foot-long, 10-foot-
wide Line. Failure: 63 (14d8) Acid damage. Success:
Half damage.
Slowing Breath. Constitution Saving Throw: DC 22,
each creature in a 90-foot Cone. Failure: The target
can't take Reactions; its Speed is halved; and it can take
either an action or a Bonus Action on its turn, not both.
This effect lasts until the end of its next turn.
Spellcasting. The dragon casts one of the following
spells, requiring no Material components and using
Charisma as the spellcasting ability (spell save DC 21):
At Will: Detect Magic, Mind Spike (level 5 version),
Minor Illusion, Shapechange (Beast or Humanoid
form only, no Temporary Hit Points gained from the
spell, and no Concentration or Temporary Hit Points
required to maintain the spell)
1/Day Each: Greater Restoration, Major Image,
Project Image
Legendary Actions
Legendary Action Uses: 3 (4 in Lair). Immediately after
another creature's turn, the dragon can expend a use to
take one of the following actions. The dragon regains all
expended uses at the start of each of its turns.
Giggling Magic. Charisma Saving Throw: DC 21, one
creature the dragon can see within 120 feet. Failure:
31 (9d6) Psychic damage. Until the end of its next turn,
the target rolls 1d8 whenever it makes an ability check
or attack roll and subtracts the number rolled from the
D20 Test. Failure or Success: The dragon can't take this
action again until the start of its next turn.
Mind Jolt. The dragon uses Spellcasting to cast Mind
Spike (level 5 version). The dragon can't take this action
again until the start of its next turn.
Pounce. The dragon moves up to half its Speed, and it
makes one Rend attack.</t>
  </si>
  <si>
    <t>Couatl
Medium Celestial, Lawful Good
AC 19		                    Initiative +5 (15)
HP 60 (8d8 + 24)
Speed 30 ft., Fly 90 ft.
MOD SAVE            MOD SAVE             MOD SAVE
Str 16 +3 +3          Dex 20 +5 +5       Con 17 +3 +5
Int 18 +4 +4          Wis 20 +5 +7       Cha 18 +4 +4
Resistances Bludgeoning, Piercing, Slashing
Immunities Psychic, Radiant
Senses Truesight 120 ft.; Passive Perception 15
Languages All; telepathy 120 ft.
CR 4 (XP 1,100; PB +2)
Traits
Shielded Mind. The couatl's thoughts can't be read by
any means, and other creatures can communicate with
it telepathically only if it allows them.
Actions
Bite. Melee Attack Roll: +7, reach 5 ft. Hit: 11 (1d12
+ 5) Piercing damage, and the target has the Poisoned
condition until the end of the couatl's next turn.
Constrict. Strength Saving Throw: DC 15, one Medium
or smaller creature the couatl can see within 5 feet.
Failure: 8 (1d6 + 5) Bludgeoning damage. The target has
the Grappled condition (escape DC 13), and it has the
Restrained condition until the grapple ends.
Spellcasting. The couatl casts one of the following
spells, requiring no spell components and using Wis-
dom as the spellcasting ability (spell save DC 15):
At Will: Detect Evil and Good, Detect Magic, Detect
Thoughts, Shapechange (Beast or Humanoid form
only, no Temporary Hit Points gained from the spell,
and no Concentration or Temporary Hit Points re-
quired to maintain the spell)
1/Day Each: Create Food and Water, Dream, Greater
Restoration, Scrying, Sleep
Bonus Actions
Divine Aid (2/Day). The couatl casts Bless, Lesser Res-
toration, or Sanctuary, requiring no spell components
and using the same spellcasting ability as Spellcasting.</t>
  </si>
  <si>
    <t>Understands Common but can't speak</t>
  </si>
  <si>
    <t>Swarm of Crawling Claws
Medium Swarm of Tiny Undead, Neutral Evil
AC 12		                    Initiative +2 (12)
HP 49 (11d8)
Speed 30 ft., Climb 30 ft.
MOD SAVE             MOD SAVE           MOD SAVE
Str 14 +2 +2         Dex 14 +2 +2         Con 11 +0 +0
Int 5 âˆ’3 âˆ’3          Wis 10 +0 +0         Cha 4 âˆ’3 âˆ’3
Resistances Bludgeoning, Piercing, Slashing
Immunities Necrotic, Poison; Charmed, Exhaustion,
Frightened, Grappled, Incapacitated, Paralyzed,
Petrified, Poisoned, Prone, Restrained, Stunned
Senses Blindsight 30 ft.; Passive Perception 10
Languages Understands Common but can't speak
CR 3 (XP 700; PB +2)
Traits
Swarm. The swarm can occupy another creature's
space and vice versa, and the swarm can move
through any opening large enough for a Tiny creature.
The swarm can't regain Hit Points or gain Temporary
Hit Points.
Actions
Swarm of Grasping Hands. Melee Attack Roll: +4,
reach 5 ft. Hit: 20 (4d8 + 2) Necrotic damage, or 11
(2d8 + 2) Necrotic damage if the swarm is Bloodied.
If the target is a Medium or smaller creature, it has the
Prone condition.</t>
  </si>
  <si>
    <t>Darkmantle
Small Aberration, Unaligned
AC 11		                    Initiative +3 (13)
HP 22 (5d6 + 5)
Speed 10 ft., Fly 30 ft.
MOD SAVE            MOD SAVE            MOD SAVE
Str 16 +3 +3         Dex 12 +1 +1         Con 13 +1 +1
Int 2 âˆ’4 âˆ’4          Wis 10 +0 +0         Cha 5 âˆ’3 âˆ’3
Skills Stealth +3
Senses Blindsight 60 ft.; Passive Perception 10
Languages None
CR 1/2 (XP 100; PB +2)
Actions
Crush. Melee Attack Roll: +5, reach 5 ft. Hit: 6 (1d6
+ 3) Bludgeoning damage, and the darkmantle attaches
to the target. If the target is a Medium or smaller crea-
ture and the darkmantle had Advantage on the attack
roll, it covers the target, which has the Blinded condi-
tion and is suffocating while the darkmantle is attached
in this way.
While attached to a target, the darkmantle can attack
only the target but has Advantage on its attack rolls. Its
Speed becomes 0, it can't benefit from any bonus to its
Speed, and it moves with the target.
A creature can take an action to try to detach the
darkmantle from itself, doing so with a successful DC
13 Strength (Athletics) check. On its turn, the darkman-
tle can detach itself by using 5 feet of movement.
Darkness Aura (1/Day). Magical Darkness fills a 15-foot
Emanation originating from the darkmantle. This effect
lasts while the darkmantle maintains Concentration
on it, up to 10 minutes. Darkvision can't penetrate this
area, and no light can illuminate it.</t>
  </si>
  <si>
    <t>Death Dog
Medium Monstrosity, Neutral Evil
AC 12		                    Initiative +2 (12)
HP 39 (6d8 + 12)
Speed 40 ft.
MOD SAVE            MOD SAVE            MOD SAVE
Str 15 +2 +2         Dex 14 +2 +2         Con 14 +2 +2
Int 3 âˆ’4 âˆ’4          Wis 13 +1 +1         Cha 6 âˆ’2 âˆ’2
Skills Perception +5, Stealth +4
Immunities Blinded, Charmed, Deafened, Frightened,
Stunned, Unconscious
Senses Darkvision 120 ft.; Passive Perception 15
Languages None
CR 1 (XP 200; PB +2)
Actions
Multiattack. The death dog makes two Bite attacks.
Bite. Melee Attack Roll: +4, reach 5 ft. Hit: 4 (1d4
+ 2) Piercing damage. If the target is a creature, it is
subjected to the following effect. Constitution Saving
Throw: DC 12. First Failure: The target has the Poisoned
condition. While Poisoned, the target's Hit Point max-
imum doesn't return to normal when finishing a Long
Rest, and it repeats the save every 24 hours that elapse,
ending the effect on itself on a success. Subsequent
Failures: The Poisoned target's Hit Point maximum de-
creases by 5 (1d10).</t>
  </si>
  <si>
    <t>Djinni
Large Elemental (Genie), Neutral
AC 17 		                     Initiative +2 (12)
HP 218 (19d10 + 114)
Speed 30 ft., Fly 90 ft. (hover)
MOD SAVE              MOD SAVE           MOD SAVE
Str 21 +5 +5          Dex 15 +2 +6          Con 22 +6 +6
Int 15 +2 +2          Wis 16 +3 +7          Cha 20 +5 +5
Immunities Lightning, Thunder
Senses Darkvision 120 ft.; Passive Perception 13
Languages Primordial (Auran)
CR 11 (XP 7,200; PB +4)
Traits
Elemental Restoration. If the djinni dies outside the
Elemental Plane of Air, its body dissolves into mist, and
it gains a new body in 1d4 days, reviving with all its Hit
Points somewhere on the Plane of Air.
Magic Resistance. The djinni has Advantage on saving
throws against spells and other magical effects.
Wishes. The djinni has a 30 percent chance of knowing
the Wish spell. If the djinni knows it, the djinni can cast
it only on behalf of a non-genie creature who commu-
nicates a wish in a way the djinni can understand. If the
djinni casts the spell for the creature, the djinni suffers
none of the spell's stress. Once the djinni has cast it
three times, the djinni can't do so again for 365 days.
Actions
Multiattack. The djinni makes three attacks, using
Storm Blade or Storm Bolt in any combination.
Storm Blade. Melee Attack Roll: +9, reach 5 feet.
Hit: 12 (2d6 + 5) Slashing damage plus 7 (2d6) Light-
ning damage.
Storm Bolt. Ranged Attack Roll: +9, range 120 feet.
Hit: 13 (3d8) Thunder damage. If the target is a Large or
smaller creature, it has the Prone condition.
Create Whirlwind. The djinni conjures a whirlwind at
a point it can see within 120 feet. The whirlwind fills a
20-foot-radius, 60-foot-high Cylinder centered on that
point. The whirlwind lasts until the djinni's Concentra-
tion on it ends. The djinni can move the whirlwind up
to 20 feet at the start of each of its turns.
Whenever the whirlwind enters a creature's space or
a creature enters the whirlwind, that creature is sub-
jected to the following effect. Strength Saving Throw:
DC 17 (a creature makes this save only once per turn,
and the djinni is unaffected). Failure: While in the
whirlwind, the target has the Restrained condition
and moves with the whirlwind. At the start of each of
its turns, the Restrained target takes 21 (6d6) Thunder
damage. At the end of each of its turns, the target re-
peats the save, ending the effect on itself on a success.
Spellcasting. The djinni casts one of the following
spells, requiring no Material components and using
Charisma as the spellcasting ability (spell save DC 17):
At Will: Detect Evil and Good, Detect Magic
2/Day Each: Create Food and Water (can create wine
instead of water), Tongues, Wind Walk
1/Day Each: Creation, Gaseous Form, Invisibility, Major
Image, Plane Shift</t>
  </si>
  <si>
    <t>Doppelganger
Medium Monstrosity, Neutral
AC 14		                   Initiative +4 (14)
HP 52 (8d8 + 16)
Speed 30 ft.
MOD SAVE            MOD SAVE            MOD SAVE
Str 11 +0 +0         Dex 18 +4 +4        Con 14 +2 +2
Int 11 +0 +0         Wis 12 +1 +1        Cha 14 +2 +2
Skills Deception +6, Insight +3
Immunities Charmed
Senses Darkvision 60 ft.; Passive Perception 11
Languages Common plus three other languages
CR 3 (XP 700; PB +2)
Actions
Multiattack. The doppelganger makes two Slam attacks
and uses Unsettling Visage if available.
Slam. Melee Attack Roll: +6 (with Advantage during the
first round of each combat), reach 5 ft. Hit: 11 (2d6 + 4)
Bludgeoning damage.
Read Thoughts. The doppelganger casts Detect
Thoughts, requiring no spell components and using
Charisma as the spellcasting ability (spell save DC 12).
Unsettling Visage (Recharge 6). Wisdom Saving Throw:
DC 12, each creature in a 15-foot Emanation originating
from the doppelganger that can see the doppelganger.
Failure: The target has the Frightened condition and re-
peats the save at the end of each of its turns, ending the
effect on itself on a success. After 1 minute, it succeeds
automatically.
Bonus Actions
Shape-Shift. The doppelganger shape-shifts into a Me-
dium or Small Humanoid, or it returns to its true form.
Its game statistics, other than its size, are the same in
each form. Any equipment it is wearing or carrying isn't
transformed.</t>
  </si>
  <si>
    <t>Dragon Turtle
Gargantuan Dragon, Neutral
AC 20		                   Initiative +6 (16)
HP 356 (23d20 + 115)
Speed 20 ft., Swim 50 ft.
MOD SAVE            MOD SAVE             MOD SAVE
Str 25 +7 +7         Dex 10 +0 +0        Con 20 +5 +11
Int 10 +0 +0         Wis 12 +1 +7        Cha 12 +1 +1
Resistances Fire
Senses Darkvision 120 ft.; Passive Perception 11
Languages Draconic, Primordial (Aquan)
CR 17 (XP 18,000; PB +6)
Traits
Amphibious. The dragon can breathe air and water.
Actions
Multiattack. The dragon makes three Bite attacks. It
can replace one attack with a Tail attack.
Bite. Melee Attack Roll: +13, reach 15 ft. Hit: 23
(3d10 + 7) Piercing damage plus 7 (2d6) Fire damage.
Being underwater doesn't grant Resistance to this
Fire damage.
Tail. Melee Attack Roll: +13, reach 15 ft. Hit: 18 (2d10
+ 7) Bludgeoning damage. If the target is a Huge or
smaller creature, it has the Prone condition.
Steam Breath (Recharge 5â€“6). Constitution Saving
Throw: DC 19, each creature in a 60-foot Cone. Failure:
56 (16d6) Fire damage. Success: Half damage. Failure or
Success: Being underwater doesn't grant Resistance to
this Fire damage.</t>
  </si>
  <si>
    <t>Dretch
Small Fiend (Demon), Chaotic Evil
AC 11		                    Initiative +0 (10)
HP 18 (4d6 + 4)
Speed 20 ft.
MOD SAVE            MOD SAVE             MOD SAVE
Str 12 +1 +1         Dex 11 +0 +0        Con 12 +1 +1
Int 5 âˆ’3 âˆ’3          Wis 8 âˆ’1 âˆ’1         Cha 3 âˆ’4 âˆ’4
Resistances Cold, Fire, Lightning
Immunities Poison; Poisoned
Senses Darkvision 60 ft.; Passive Perception 9
Languages Abyssal; telepathy 60 ft. (works only with
creatures that understand Abyssal)
CR 1/4 (XP 50; PB +2)
Actions
Rend. Melee Attack Roll: +3, reach 5 ft. Hit: 4 (1d6 + 1)
Slashing damage.
Fetid Cloud (1/Day). Constitution Saving Throw: DC 11,
each creature in a 10-foot Emanation originating from
the dretch. Failure: The target has the Poisoned condi-
tion until the end of its next turn. While Poisoned, the
creature can take either an action or a Bonus Action on
its turn, not both, and it can't take Reactions.</t>
  </si>
  <si>
    <t>Earth Elemental
Large Elemental, Neutral
AC 17		                     Initiative âˆ’1 (9)
HP 147 (14d10 + 70)
Speed 30 ft., Burrow 30 ft.
MOD SAVE             MOD SAVE            MOD SAVE
Str 20 +5 +5         Dex 8 âˆ’1 âˆ’1           Con 20 +5 +5
Int 5 âˆ’3 âˆ’3          Wis 10 +0 +0          Cha 5 âˆ’3 âˆ’3
Vulnerabilities Thunder
Immunities Poison; Exhaustion, Paralyzed, Petrified,
Poisoned, Unconscious
Senses Darkvision 60 ft., Tremorsense 60 ft.;
Passive Perception 10
Languages Primordial (Terran)
CR 5 (XP 1,800; PB +3)
Traits
Earth Glide. The elemental can burrow through
nonmagical, unworked earth and stone. While do-
ing so, the elemental doesn't disturb the material it
moves through.
Siege Monster. The elemental deals double damage to
objects and structures.
Actions
Multiattack. The elemental makes two attacks, using
Slam or Rock Launch in any combination.
Slam. Melee Attack Roll: +8, reach 10 ft. Hit: 14 (2d8
+ 5) Bludgeoning damage.
Rock Launch. Ranged Attack Roll: +8, range 60 ft. Hit:
8 (1d6 + 5) Bludgeoning damage. If the target is a Large
or smaller creature, it has the Prone condition.</t>
  </si>
  <si>
    <t>Efreeti
Large Elemental (Genie), Neutral
AC 17		                      Initiative +1 (11)
HP 212 (17d10 + 119)
Speed 40 ft., Fly 60 ft. (hover)
MOD SAVE              MOD SAVE           MOD SAVE
Str 22 +6 +6          Dex 12 +1 +1          Con 24 +7 +7
Int 16 +3 +3          Wis 15 +2 +6          Cha 19 +4 +8
Immunities Fire
Senses Darkvision 120 ft.; Passive Perception 12
Languages Primordial (Ignan)
CR 11 (XP 7,200; PB +4)
Traits
Elemental Restoration. If the efreeti dies outside the
Elemental Plane of Fire, its body dissolves into ash, and
it gains a new body in 1d4 days, reviving with all its Hit
Points somewhere on the Plane of Fire.
Magic Resistance. The efreeti has Advantage on saving
throws against spells and other magical effects.
Wishes. The efreeti has a 30 percent chance of know-
ing the Wish spell. If the efreeti knows it, the efreeti
can cast it only on behalf of a non-genie creature who
communicates a wish in a way the efreeti can under-
stand. If the efreeti casts the spell for the creature, the
efreeti suffers none of the spell's stress. Once the efreeti
has cast it three times, the efreeti can't do so again
for 365 days.
Actions
Multiattack. The efreeti makes three attacks, using
Heated Blade or Hurl Flame in any combination.
Heated Blade. Melee Attack Roll: +10, reach 5 ft.
Hit: 13 (2d6 + 6) Slashing damage plus 13 (2d12)
Fire damage.
Hurl Flame. Ranged Attack Roll: +8, range 120 ft. Hit:
24 (7d6) Fire damage.
Spellcasting. The efreeti casts one of the following
spells, requiring no Material components and using
Charisma as the spellcasting ability (spell save DC 16):
At Will: Detect Magic, Elementalism
1/Day Each: Gaseous Form, Invisibility, Major Image,
Plane Shift, Tongues, Wall of Fire (level 7 version)</t>
  </si>
  <si>
    <t>Ettercap
Medium Monstrosity, Neutral Evil
AC 13 		                   Initiative +2 (12)
HP 44 (8d8 + 8)
Speed 30 ft., Climb 30 ft.
MOD SAVE             MOD SAVE           MOD SAVE
Str 14 +2 +2         Dex 15 +2 +2          Con 13 +1 +1
Int 7 âˆ’2 âˆ’2          Wis 12 +1 +1          Cha 8 âˆ’1 âˆ’1
Skills Perception +3, Stealth +4, Survival +3
Senses Darkvision 60 ft.; Passive Perception 13
Languages None
CR 2 (XP 450; PB +2)
Traits
Spider Climb. The ettercap can climb difficult surfaces,
including along ceilings, without needing to make an
ability check.
Web Walker. The ettercap ignores movement re-
strictions caused by webs, and the ettercap knows
the location of any other creature in contact with
the same web.
Actions
Multiattack. The ettercap makes one Bite attack and
one Claw attack.
Bite. Melee Attack Roll: +4, reach 5 ft. Hit: 5 (1d6 + 2)
Piercing damage plus 2 (1d4) Poison damage, and the
target has the Poisoned condition until the start of the
ettercap's next turn.
Claw. Melee Attack Roll: +4, reach 5 ft. Hit: 7 (2d4 + 2)
Slashing damage.
Web Strand (Recharge 5â€“6). Dexterity Saving Throw:
DC 12, one Large or smaller creature the ettercap can
see within 30 feet. Failure: The target has the Restrained
condition until the web is destroyed (AC 10; HP 5;
Vulnerability to Fire damage; Immunity to Bludgeoning,
Poison, and Psychic damage).
Bonus Actions
Reel. The ettercap pulls one creature within 30 feet of
itself that is Restrained by its Web Strand up to 25 feet
straight toward itself.</t>
  </si>
  <si>
    <t>Fire Elemental
Large Elemental, Neutral
AC 13		                    Initiative +3 (13)
HP 93 (11d10 + 33)
Speed 50 ft.
MOD SAVE            MOD SAVE           MOD SAVE
Str 10 +0 +0         Dex 17 +3 +3         Con 16 +3 +3
Int 6 âˆ’2 âˆ’2          Wis 10 +0 +0         Cha 7 âˆ’2 âˆ’2
Resistances Bludgeoning, Piercing, Slashing
Immunities Fire, Poison; Exhaustion, Grappled, Paralyzed,
Petrified, Poisoned, Prone, Restrained, Unconscious
Senses Darkvision 60 ft.; Passive Perception 10
Languages Primordial (Ignan)
CR 5 (XP 1,800; PB +3)
Traits
Fire Aura. At the end of each of the elemental's turns,
each creature in a 10-foot Emanation originating from
the elemental takes 5 (1d10) Fire damage. Creatures and
flammable objects in the Emanation start burning.
Fire Form. The elemental can move through a space as
narrow as 1 inch without expending extra movement
to do so, and it can enter a creature's space and stop
there. The first time it enters a creature's space on a
turn, that creature takes 5 (1d10) Fire damage.
Illumination. The elemental sheds Bright Light in a 30-
foot radius and Dim Light for an additional 30 feet.
Water Susceptibility. The elemental takes 3 (1d6) Cold
damage for every 5 feet the elemental moves in water
or for every gallon of water splashed on it.
Actions
Multiattack. The elemental makes two Burn attacks.
Burn. Melee Attack Roll: +6, reach 5 ft. Hit: 10 (2d6 +
3) Fire damage. If the target is a creature or a flammable
object, it starts burning.</t>
  </si>
  <si>
    <t>Understands Common plus one other language but can't speak</t>
  </si>
  <si>
    <t>Flesh Golem
Medium Construct, Neutral
AC 9		                     Initiative âˆ’1 (9)
HP 127 (15d8 + 60)
Speed 30 ft.
MOD SAVE            MOD SAVE           MOD SAVE
Str 19 +4 +4         Dex 9 âˆ’1 âˆ’1          Con 18 +4 +4
Int 6 âˆ’2 âˆ’2          Wis 10 +0 +0         Cha 5 âˆ’3 âˆ’3
Immunities Lightning, Poison; Charmed, Exhaustion,
Frightened, Paralyzed, Petrified, Poisoned
Senses Darkvision 60 ft.; Passive Perception 10
Languages Understands Common plus one other language
but can't speak
CR 5 (XP 1,800; PB +3)
Traits
Aversion to Fire. If the golem takes Fire damage, it has
Disadvantage on attack rolls and ability checks until the
end of its next turn.
Berserk. Whenever the golem starts its turn Bloodied,
roll 1d6. On a 6, the golem goes berserk. On each of
its turns while berserk, the golem attacks the nearest
creature it can see. If no creature is near enough to
move to and attack, the golem attacks an object. Once
the golem goes berserk, it remains so until it is de-
stroyed or it is no longer Bloodied.
The golem's creator, if within 60 feet of the berserk
golem, can try to calm it by taking an action to make a
DC 15 Charisma (Persuasion) check; the golem must be
able to hear its creator. If this check succeeds, the go-
lem ceases being berserk until the start of its next turn,
at which point it resumes rolling for the Berserk trait
again if it is still Bloodied.
Immutable Form. The golem can't shape-shift.
Lightning Absorption. Whenever the golem is sub-
jected to Lightning damage, it regains a number of Hit
Points equal to the Lightning damage dealt.
Magic Resistance. The golem has Advantage on saving
throws against spells and other magical effects.
Actions
Multiattack. The golem makes two Slam attacks.
Slam. Melee Attack Roll: +7, reach 5 ft. Hit: 13 (2d8 +
4) Bludgeoning damage plus 4 (1d8) Lightning damage.</t>
  </si>
  <si>
    <t>Frost Giant
Huge Giant, Neutral Evil
AC 15		                    Initiative +2 (12)
HP 149 (13d12 + 65)
Speed 40 ft.
MOD SAVE            MOD SAVE            MOD SAVE
Str 23 +6 +6         Dex 9 âˆ’1 âˆ’1          Con 21 +5 +8
Int 9 âˆ’1 âˆ’1          Wis 10 +0 +3         Cha 12 +1 +4
Skills Athletics +9, Perception +3
Immunities Cold
Senses Passive Perception 13
Languages Giant
CR 8 (XP 3,900; PB +3)
Actions
Multiattack. The giant makes two attacks, using Frost
Axe or Great Bow in any combination.
Frost Axe. Melee Attack Roll: +9, reach 10 ft. Hit: 19
(2d12 + 6) Slashing damage plus 9 (2d8) Cold damage.
Great Bow. Ranged Attack Roll: +9, range 150/600 ft.
Hit: 17 (2d10 + 6) Piercing damage plus 7 (2d6) Cold
damage, and the target's Speed decreases by 10 feet
until the end of its next turn.
Bonus Actions
War Cry (Recharge 5â€“6). The giant or one creature of
its choice that can see or hear it gains 16 (2d10 + 5)
Temporary Hit Points and has Advantage on attack rolls
until the start of the giant's next turn.</t>
  </si>
  <si>
    <t>Gargoyle
Medium Elemental, Chaotic Evil
AC 15		                    Initiative +2 (12)
HP 67 (9d8 + 27)
Speed 30 ft., Fly 60 ft.
MOD SAVE            MOD SAVE           MOD SAVE
Str 15 +2 +2          Dex 11 +0 +0        Con 16 +3 +3
Int 6 âˆ’2 âˆ’2           Wis 11 +0 +0        Cha 7 âˆ’2 âˆ’2
Skills Stealth +4
Immunities Poison; Exhaustion, Petrified, Poisoned
Senses Darkvision 60 ft.; Passive Perception 10
Languages Primordial (Terran)
CR 2 (XP 450; PB +2)
Traits
Flyby. The gargoyle doesn't provoke an Opportunity
Attack when it flies out of an enemy's reach.
Actions
Multiattack. The gargoyle makes two Claw attacks.
Claw. Melee Attack Roll: +4, reach 5 ft. Hit: 7 (2d4 + 2)
Slashing damage.</t>
  </si>
  <si>
    <t>Gelatinous Cube
Large Ooze, Unaligned
AC 6		                     Initiative âˆ’4 (6)
HP 63 (6d10 + 30)
Speed 15 ft.
MOD SAVE            MOD SAVE           MOD SAVE
Str 14 +2 +2         Dex 3 âˆ’4 âˆ’4         Con 20 +5 +5
Int 1 âˆ’5 âˆ’5          Wis 6 âˆ’2 âˆ’2         Cha 1 âˆ’5 âˆ’5
Immunities Acid; Blinded, Charmed, Deafened,
Exhaustion, Frightened, Prone
Senses Blindsight 60 ft.; Passive Perception 8
Languages None
CR 2 (XP 450; PB +2)
Traits
Ooze Cube. The cube fills its entire space and is trans-
parent. Other creatures can enter that space, but a
creature that does so is subjected to the cube's Engulf
and has Disadvantage on the saving throw.
Creatures inside the cube have Total Cover, and the
cube can hold one Large creature or up to four Medium
or Small creatures inside itself at a time.
As an action, a creature within 5 feet of the cube can
pull a creature or an object out of the cube by suc-
ceeding on a DC 12 Strength (Athletics) check, and the
puller takes 10 (3d6) Acid damage.
Transparent. Even when the cube is in plain sight, a
creature must succeed on a DC 15 Wisdom (Percep-
tion) check to notice the cube if the creature hasn't wit-
nessed the cube move or otherwise act.
Actions
Pseudopod. Melee Attack Roll: +4, reach 5 ft. Hit: 12
(3d6 + 2) Acid damage.
Engulf. The cube moves up to its Speed without
provoking Opportunity Attacks. The cube can move
through the spaces of Large or smaller creatures if it has
room inside itself to contain them (see the Ooze Cube
trait). Dexterity Saving Throw: DC 12, each creature
whose space the cube enters for the first time during
this move. Failure: 10 (3d6) Acid damage, and the target
is engulfed. An engulfed target is suffocating, can't cast
spells with a Verbal component, has the Restrained
condition, and takes 10 (3d6) Acid damage at the start
of each of the cube's turns. When the cube moves,
the engulfed target moves with it. An engulfed target
can try to escape by taking an action to make a DC
12 Strength (Athletics) check. On a successful check,
the target escapes and enters the nearest unoccupied
space. Success: Half damage, and the target moves to
an unoccupied space within 5 feet of the cube. If there
is no unoccupied space, the target fails the save instead.</t>
  </si>
  <si>
    <t>Ghast
Medium Undead, Chaotic Evil
AC 13		                   Initiative +3 (13)
HP 36 (8d8)
Speed 30 ft.
MOD SAVE              MOD SAVE           MOD SAVE
Str 16 +3 +3          Dex 17 +3 +3          Con 10 +0 +0
Int 11 +0 +0          Wis 10 +0 +2          Cha 8 âˆ’1 âˆ’1
Resistances Necrotic
Immunities Poison; Charmed, Exhaustion, Poisoned
Senses Darkvision 60 ft.; Passive Perception 10
Languages Common
CR 2 (XP 450; PB +2)
Traits
Stench. Constitution Saving Throw: DC 10, any creature
that starts its turn in a 5-foot Emanation originating from
the ghast. Failure: The target has the Poisoned condi-
tion until the start of its next turn. Success: The target is
immune to this ghast's Stench for 24 hours.
Actions
Bite. Melee Attack Roll: +5, reach 5 ft. Hit: 7 (1d8 + 3)
Piercing damage plus 9 (2d8) Necrotic damage.
Claw. Melee Attack Roll: +5, reach 5 ft. Hit: 10 (2d6
+ 3) Slashing damage. If the target is a non-Undead
creature, it is subjected to the following effect. Consti-
tution Saving Throw: DC 10. Failure: The target has the
Paralyzed condition until the end of its next turn.</t>
  </si>
  <si>
    <t>Ghost
Medium Undead, Neutral
AC 11		                      Initiative +1 (11)
HP 45 (10d8)
Speed 5 ft., Fly 40 ft. (hover)
MOD SAVE              MOD SAVE           MOD SAVE
Str 7 âˆ’2 âˆ’2           Dex 13 +1 +1          Con 10 +0 +0
Int 10 +0 +0          Wis 12 +1 +1          Cha 17 +3 +3
Resistances Acid, Bludgeoning, Cold, Fire, Lightning,
Piercing, Slashing, Thunder
Immunities Necrotic, Poison; Charmed, Exhaustion,
Frightened, Grappled, Paralyzed, Petrified, Poisoned,
Prone, Restrained
Senses Darkvision 60 ft.; Passive Perception 11
Languages Common plus one other language
CR 4 (XP 1,100; PB +2)
Traits
Ethereal Sight. The ghost can see 60 feet into the Ethe-
real Plane when it is on the Material Plane.
Incorporeal Movement. The ghost can move through
other creatures and objects as if they were Difficult
Terrain. It takes 5 (1d10) Force damage if it ends its turn
inside an object.
Actions
Multiattack. The ghost makes two Withering
Touch attacks.
Withering Touch. Melee Attack Roll: +5, reach 5 ft.
Hit: 19 (3d10 + 3) Necrotic damage.
Etherealness. The ghost casts the Etherealness spell,
requiring no spell components and using Charisma as
the spellcasting ability. The ghost is visible on the Mate-
rial Plane while on the Border Ethereal and vice versa,
but it can't affect or be affected by anything on the
other plane.
Horrific Visage. Wisdom Saving Throw: DC 13, each
creature in a 60-foot Cone that can see the ghost and
isn't an Undead. Failure: 10 (2d6 + 3) Psychic damage,
and the target has the Frightened condition until the
start of the ghost's next turn. Success: The target is im-
mune to this ghost's Horrific Visage for 24 hours.
Possession (Recharge 6). Charisma Saving Throw: DC
13, one Humanoid the ghost can see within 5 feet. Fail-
ure: The target is possessed by the ghost; the ghost dis-
appears, and the target has the Incapacitated condition
and loses control of its body. The ghost now controls
the body, but the target retains awareness. The ghost
can't be targeted by any attack, spell, or other effect,
except ones that specifically target Undead. The ghost's
game statistics are the same, except it uses the pos-
sessed target's Speed, as well as the target's Strength,
Dexterity, and Constitution modifiers.
The possession lasts until the body drops to 0 Hit
Points or the ghost leaves as a Bonus Action. When the
possession ends, the ghost appears in an unoccupied
space within 5 feet of the target, and the target is im-
mune to this ghost's Possession for 24 hours.
Success: The target is immune to this ghost's Posses-
sion for 24 hours.</t>
  </si>
  <si>
    <t>Ghoul
Medium Undead, Chaotic Evil
AC 12		                    Initiative +2 (12)
HP 22 (5d8)
Speed 30 ft.
MOD SAVE            MOD SAVE            MOD SAVE
Str 13 +1 +1         Dex 15 +2 +2         Con 10 +0 +0
Int 7 âˆ’2 âˆ’2          Wis 10 +0 +0         Cha 6 âˆ’2 âˆ’2
Immunities Poison; Charmed, Exhaustion, Poisoned
Senses Darkvision 60 ft.; Passive Perception 10
Languages Common
CR 1 (XP 200; PB +2)
Actions
Multiattack. The ghoul makes two Bite attacks.
Bite. Melee Attack Roll: +4, reach 5 ft. Hit: 5 (1d6 + 2)
Piercing damage plus 3 (1d6) Necrotic damage.
Claw. Melee Attack Roll: +4, reach 5 ft. Hit: 4 (1d4
+ 2) Slashing damage. If the target is a creature that
isn't an Undead or elf, it is subjected to the following
effect. Constitution Saving Throw: DC 10. Failure: The
target has the Paralyzed condition until the end of its
next turn.</t>
  </si>
  <si>
    <t>Gibbering Mouther
Medium Aberration, Chaotic Neutral
AC 9		                    Initiative âˆ’1 (9)
HP 52 (7d8 + 21)
Speed 20 ft., Swim 20 ft.
MOD SAVE            MOD SAVE             MOD SAVE
Str 10 +0 +0         Dex 8 âˆ’1 âˆ’1         Con 16 +3 +3
Int 3 âˆ’4 âˆ’4          Wis 10 +0 +0        Cha 6 âˆ’2 âˆ’2
Immunities Prone
Senses Darkvision 60 ft.; Passive Perception 10
Languages None
CR 2 (XP 450; PB +2)
Traits
Aberrant Ground. The ground in a 10-foot Emanation
originating from the mouther is Difficult Terrain.
Gibbering. The mouther babbles incoherently while
it doesn't have the Incapacitated condition. Wisdom
Saving Throw: DC 10, any creature that starts its turn
within 20 feet of the mouther while it is babbling.
Failure: The target rolls 1d8 to determine what it does
during the current turn:
1â€“4. The target does nothing.
5â€“6. The target takes no action or Bonus Action and
uses all its movement to move in a random direction.
7â€“8. The target makes a melee attack against a ran-
domly determined creature within its reach or does
nothing if it can't make such an attack.
Actions
Bite. Melee Attack Roll: +2, reach 5 ft. Hit: 7 (2d6)
Piercing damage. If the target is a Medium or smaller
creature, it has the Prone condition. The target dies if
it is reduced to 0 Hit Points by this attack. Its body is
then absorbed into the mouther, leaving only equip-
ment behind.
Blinding Spittle (Recharge 5â€“6). Dexterity Saving
Throw: DC 10, each creature in a 10-foot-radius Sphere
centered on a point within 30 feet. Failure: 7 (2d6) Ra-
diant damage, and the target has the Blinded condition
until the end of the mouther's next turn.</t>
  </si>
  <si>
    <t>Gold Dragon Wyrmling
Medium Dragon (Metallic), Lawful Good
AC 17		                      Initiative +4 (14)
HP 60 (8d8 + 24)
Speed 30 ft., Fly 60 ft., Swim 30 ft.
MOD SAVE              MOD SAVE          MOD SAVE
Str 19 +4 +4          Dex 14 +2 +4         Con 17 +3 +3
Int 14 +2 +2          Wis 11 +0 +2         Cha 16 +3 +3
Skills Perception +4, Stealth +4
Immunities Fire
Senses Blindsight 10 ft., Darkvision 60 ft.;
Passive Perception 14
Languages Draconic
CR 3 (700 XP; PB +2)
Traits
Amphibious. The dragon can breathe air and water.
Actions
Multiattack. The dragon makes two Rend attacks.
Rend. Melee Attack Roll: +6, reach 5 ft. Hit: 9 (1d10
+ 4) Slashing damage.
Fire Breath (Recharge 5â€“6). Dexterity Saving Throw:
DC 13, each creature in a 15-foot Cone. Failure: 22
(4d10) Fire damage. Success: Half damage.
Weakening Breath. Strength Saving Throw: DC 13,
each creature that isn't currently affected by this breath
in a 15-foot Cone. Failure: The target has Disadvantage
on Strength-based D20 Tests and subtracts 2 (1d4) from
its damage rolls. It repeats the save at the end of each
of its turns, ending the effect on itself on a success. Af-
ter 1 minute, it succeeds automatically.</t>
  </si>
  <si>
    <t>Young Gold Dragon
Large Dragon (Metallic), Lawful Good
AC 18		                      Initiative +6 (16)
HP 178 (17d10 + 85)
Speed 40 ft., Fly 80 ft., Swim 40 ft.
MOD SAVE              MOD SAVE           MOD SAVE
Str 23 +6 +6          Dex 14 +2 +6         Con 21 +5 +5
Int 16 +3 +3          Wis 13 +1 +5         Cha 20 +5 +5
Skills Insight +5, Perception +9, Persuasion +9, Stealth +6
Immunities Fire
Senses Blindsight 30 ft., Darkvision 120 ft.;
Passive Perception 19
Languages Common, Draconic
CR 10 (XP 5,900; PB +4)
Traits
Amphibious. The dragon can breathe air and water.
Actions
Multiattack. The dragon makes three Rend attacks. It
can replace one attack with a use of Weakening Breath.
Rend. Melee Attack Roll: +10, reach 10 ft. Hit: 17 (2d10
+ 6) Slashing damage.
Fire Breath (Recharge 5â€“6). Dexterity Saving Throw:
DC 17, each creature in a 30-foot Cone. Failure: 55
(10d10) Fire damage. Success: Half damage.
Weakening Breath. Strength Saving Throw: DC 17,
each creature that isn't currently affected by this breath
in a 30-foot Cone. Failure: The target has Disadvantage
on Strength-based D20 Tests and subtracts 3 (1d6) from
its damage rolls. It repeats the save at the end of each
of its turns, ending the effect on itself on a success. Af-
ter 1 minute, it succeeds automatically.</t>
  </si>
  <si>
    <t>Adult Gold Dragon
Huge Dragon (Metallic), Lawful Good
AC 19                 Initiative +14 (24)
HP 243 (18d12 + 126)
Speed 40 ft., Fly 80 ft., Swim 40 ft.
MOD SAVE             MOD SAVE            MOD SAVE
Str 27 +8 +8         Dex 14 +2 +8           Con 25 +7 +7
Int 16 +3 +3         Wis 15 +2 +8           Cha 24 +7 +7
Skills Insight +8, Perception +14, Persuasion +13, Stealth
+8
Immunities Fire
Senses Blindsight 60 ft., Darkvision 120 ft.;
Passive Perception 24
Languages Common, Draconic
CR 17 (XP 18,000, or 20,000 in lair; PB +6)
Traits
Amphibious. The dragon can breathe air and water.
Legendary Resistance (3/Day, or 4/Day in Lair). If
the dragon fails a saving throw, it can choose to suc-
ceed instead.
Actions
Multiattack. The dragon makes three Rend attacks. It
can replace one attack with a use of (A) Spellcasting
to cast Guiding Bolt (level 2 version) or (B) Weaken-
ing Breath.
Rend. Melee Attack Roll: +14, reach 10 ft. Hit: 17 (2d8
+ 8) Slashing damage plus 4 (1d8) Fire damage.
Fire Breath (Recharge 5â€“6). Dexterity Saving Throw:
DC 21, each creature in a 60-foot Cone. Failure: 66
(12d10) Fire damage. Success: Half damage.
Spellcasting. The dragon casts one of the following
spells, requiring no Material components and using
Charisma as the spellcasting ability (spell save DC 21,
+13 to hit with spell attacks):
At Will: Detect Magic, Guiding Bolt (level 2 version),
Shapechange (Beast or Humanoid form only, no
Temporary Hit Points gained from the spell, and no
Concentration or Temporary Hit Points required to
maintain the spell)
1/Day Each: Flame Strike, Zone of Truth
Weakening Breath. Strength Saving Throw: DC 21,
each creature that isn't currently affected by this breath
in a 60-foot Cone. Failure: The target has Disadvantage
on Strength-based D20 Tests and subtracts 3 (1d6) from
its damage rolls. It repeats the save at the end of each
of its turns, ending the effect on itself on a success. Af-
ter 1 minute, it succeeds automatically.
Legendary Actions
Legendary Action Uses: 3 (4 in Lair). Immediately after
another creature's turn, the dragon can expend a use to
take one of the following actions. The dragon regains all
expended uses at the start of each of its turns.
Banish. Charisma Saving Throw: DC 21, one creature
the dragon can see within 120 feet. Failure: 10 (3d6)
Force damage, and the target has the Incapacitated
condition and is transported to a harmless demiplane
until the start of the dragon's next turn, at which point
it reÂ­appears in an unoccupied space of the dragon's
choice within 120 feet of the dragon. Failure or Success:
The dragon can't take this action again until the start of
its next turn.
Guiding Light. The dragon uses Spellcasting to cast
Guiding Bolt (level 2 version).
Pounce. The dragon moves up to half its Speed, and it
makes one Rend attack.</t>
  </si>
  <si>
    <t>Ancient Gold Dragon
Gargantuan Dragon (Metallic), Lawful Good
AC 22		                      Initiative +16 (26)
HP 546 (28d20 + 252)
Speed 40 ft., Fly 80 ft., Swim 40 ft.
MOD SAVE              MOD SAVE           MOD SAVE
Str 30 +10 +10 Dex 14 +2 +9 Con 29 +9 +9
Int 18 +4 +4 Wis 17 +3 +10 Cha 28 +9 +9
Skills Insight +10, Perception +17, Persuasion +16, Stealth
+9
Immunities Fire
Senses Blindsight 60 ft., Darkvision 120 ft.;
Passive Perception 27
Languages Common, Draconic
CR 24 (XP 62,000, or 75,000 in lair; PB +7)
Traits
Amphibious. The dragon can breathe air and water.
Legendary Resistance (4/Day, or 5/Day in Lair). If
the dragon fails a saving throw, it can choose to suc-
ceed instead.
Actions
Multiattack. The dragon makes three Rend attacks. It
can replace one attack with a use of (A) Spellcasting
to cast Guiding Bolt (level 4 version) or (B) Weaken-
ing Breath.
Rend. Melee Attack Roll: +17 to hit, reach 15 ft. Hit: 19
(2d8 + 10) Slashing damage plus 9 (2d8) Fire damage.
Fire Breath (Recharge 5â€“6). Dexterity Saving Throw:
DC 24, each creature in a 90-foot Cone. Failure: 71
(13d10) Fire damage. Success: Half damage.
Spellcasting. The dragon casts one of the following
spells, requiring no Material components and using
Charisma as the spellcasting ability (spell save DC 24,
+16 to hit with spell attacks):
At Will: Detect Magic, Guiding Bolt (level 4 version),
Shapechange (Beast or Humanoid form only, no
Temporary Hit Points gained from the spell, and no
Concentration or Temporary Hit Points required to
maintain the spell)
1/Day Each: Flame Strike (level 6 version), Word of Re-
call, Zone of Truth
Weakening Breath. Strength Saving Throw: DC 24,
each creature that isn't currently affected by this breath
in a 90-foot Cone. Failure: The target has Disadvantage
on Strength-based D20 Tests and subtracts 5 (1d10)
from its damage rolls. It repeats the save at the end of
each of its turns, ending the effect on itself on a suc-
cess. After 1 minute, it succeeds automatically.
Legendary Actions
Legendary Action Uses: 3 (4 in Lair). Immediately after
another creature's turn, the dragon can expend a use to
take one of the following actions. The dragon regains all
expended uses at the start of each of its turns.
Banish. Charisma Saving Throw: DC 24, one creature
the dragon can see within 120 feet. Failure: 24 (7d6)
Force damage, and the target has the Incapacitated
condition and is transported to a harmless demiplane
until the start of the dragon's next turn, at which point
it reappears in an unoccupied space of the dragon's
choice within 120 feet of the dragon. Failure or Success:
The dragon can't take this action again until the start of
its next turn.
Guiding Light. The dragon uses Spellcasting to cast
Guiding Bolt (level 4 version).
Pounce. The dragon moves up to half its Speed, and it
makes one Rend attack.</t>
  </si>
  <si>
    <t>Adult Green Dragon
Huge Dragon (Chromatic), Lawful Evil
AC 19		                      Initiative +11 (21)
HP 207 (18d12 + 90)
Speed 40 ft., Fly 80 ft., Swim 40 ft.
MOD SAVE              MOD SAVE           MOD SAVE
Str 23 +6 +6          Dex 12 +1 +6         Con 21 +5 +5
Int 18 +4 +4          Wis 15 +2 +7         Cha 18 +4 +4
Skills Deception +9, Perception +12, Persuasion +9,
Stealth +6
Immunities Poison; Poisoned
Senses Blindsight 60 ft., Darkvision 120 ft.;
Passive Perception 22
Languages Common, Draconic
CR 15 (XP 13,000, or 15,000 in lair; PB +5)
Traits
Amphibious. The dragon can breathe air and water.
Legendary Resistance (3/Day, or 4/Day in Lair). If
the dragon fails a saving throw, it can choose to suc-
ceed instead.
Actions
Multiattack. The dragon makes three Rend attacks. It
can replace one attack with a use of Spellcasting to cast
Mind Spike (level 3 version).
Rend. Melee Attack Roll: +11, reach 10 ft. Hit: 15 (2d8
+ 6) Slashing damage plus 7 (2d6) Poison damage.
Poison Breath (Recharge 5â€“6). Constitution Saving
Throw: DC 18, each creature in a 60-foot Cone. Fail-
ure: 56 (16d6) Poison damage. Success: Half damage.
Spellcasting. The dragon casts one of the following
spells, requiring no Material components and using
Charisma as the spellcasting ability (spell save DC 17):
At Will: Detect Magic, Mind Spike (level 3 version)
1/Day: Geas
Legendary Actions
Legendary Action Uses: 3 (4 in Lair). Immediately after
another creature's turn, the dragon can expend a use to
take one of the following actions. The dragon regains all
expended uses at the start of each of its turns.
Mind Invasion. The dragon uses Spellcasting to cast
Mind Spike (level 3 version).
Noxious Miasma. Constitution Saving Throw: DC 17,
each creature in a 20-foot-radius Sphere centered on a
point the dragon can see within 90 feet. Failure: 7 (2d6)
Poison damage, and the target takes a âˆ’2 penalty to AC
until the end of its next turn. Failure or Success: The
dragon can't take this action again until the start of its
next turn.
Pounce. The dragon moves up to half its Speed, and it
makes one Rend attack.</t>
  </si>
  <si>
    <t>Ancient Green Dragon
Gargantuan Dragon (Chromatic), Lawful Evil
AC 21		                      Initiative +15 (25)
HP 402 (23d20 + 161)
Speed 40 ft., Fly 80 ft., Swim 40 ft.
MOD SAVE              MOD SAVE           MOD SAVE
Str 27 +8 +8          Dex 12 +1 +8 Con 25 +7 +7
Int 20 +5 +5          Wis 17 +3 +10 Cha 22 +6 +6
Skills Deception +13, Perception +17, Persuasion +13,
Stealth +8
Immunities Poison; Poisoned
Senses Blindsight 60 ft., Darkvision 120 ft.;
Passive Perception 27
Languages Common, Draconic
CR 22 (XP 41,000, or 50,000 in lair; PB +7)
Traits
Amphibious. The dragon can breathe air and water.
Legendary Resistance (4/Day, or 5/Day in Lair). If
the dragon fails a saving throw, it can choose to suc-
ceed instead.
Actions
Multiattack. The dragon makes three Rend attacks. It
can replace one attack with a use of Spellcasting to cast
Mind Spike (level 5 version).
Rend. Melee Attack Roll: +15, reach 15 ft. Hit: 17 (2d8
+ 8) Slashing damage plus 10 (3d6) Poison damage.
Poison Breath (Recharge 5â€“6). Constitution Saving
Throw: DC 22, each creature in a 90-foot Cone. Fail-
ure: 77 (22d6) Poison damage. Success: Half damage.
Spellcasting. The dragon casts one of the following
spells, requiring no Material components and using
Charisma as the spellcasting ability (spell save DC 21):
At Will: Detect Magic, Mind Spike (level 5 version)
1/Day Each: Geas, Modify Memory
Legendary Actions
Legendary Action Uses: 3 (4 in Lair). Immediately after
another creature's turn, the dragon can expend a use to
take one of the following actions. The dragon regains all
expended uses at the start of each of its turns.
Mind Invasion. The dragon uses Spellcasting to cast
Mind Spike (level 5 version).
Noxious Miasma. Constitution Saving Throw: DC 21,
each creature in a 30-foot-radius Sphere centered on
a point the dragon can see within 90 feet. Failure: 17
(5d6) Poison damage, and the target takes a âˆ’2 penalty
to AC until the end of its next turn. Failure or Success:
The dragon can't take this action again until the start of
its next turn.
Pounce. The dragon moves up to half its Speed, and it
makes one Rend attack.</t>
  </si>
  <si>
    <t>Green Hag
Medium Fey, Neutral Evil
AC 17		                   Initiative +1 (11)
HP 82 (11d8 + 33)
Speed 30 ft., Swim 30 ft.
MOD SAVE            MOD SAVE             MOD SAVE
Str 18 +4 +4         Dex 12 +1 +1        Con 16 +3 +3
Int 13 +1 +1         Wis 14 +2 +2        Cha 14 +2 +2
Skills Arcana +5, Deception +4, Perception +4, Stealth +3
Senses Darkvision 60 ft.; Passive Perception 14
Languages Common, Elvish, Sylvan
CR 3 (XP 700; PB +2)
Traits
Amphibious. The hag can breathe air and water.
Coven Magic. While within 30 feet of at least two hag
allies, the hag can cast one of the following spells,
requiring no Material components, using the spell's
normal casting time, and using Intelligence as the spell-
casting ability (spell save DC 11): Augury, Find Familiar,
Identify, Locate Object, Scrying, or Unseen Servant.
The hag must finish a Long Rest before using this trait to
cast that spell again.
Mimicry. The hag can mimic animal sounds and hu-
manoid voices. A creature that hears the sounds can
tell they are imitations only with a successful DC 14
Wisdom (Insight) check.
Actions
Multiattack. The hag makes two Claw attacks.
Claw. Melee Attack Roll: +6, reach 5 ft. Hit: 8 (1d8 + 4)
Slashing damage plus 3 (1d6) Poison damage.
Spellcasting. The hag casts one of the following spells,
requiring no Material components and using Wisdom
as the spellcasting ability (spell save DC 12, +4 to hit
with spell attacks):
At Will: Dancing Lights, Disguise Self (24-hour du-
ration), Invisibility (self only, and the hag leaves no
tracks while Invisible), Minor Illusion, Ray of Sickness
(level 3 version)</t>
  </si>
  <si>
    <t>Griffon
Large Monstrosity, Unaligned
AC 12		                    Initiative +2 (12)
HP 59 (7d10 + 21)
Speed 30 ft., Fly 80 ft.
MOD SAVE             MOD SAVE           MOD SAVE
Str 18 +4 +4          Dex 15 +2 +2        Con 16 +3 +3
Int 2 âˆ’4 âˆ’4           Wis 13 +1 +1        Cha 8 âˆ’1 âˆ’1
Skills Perception +5
Senses Darkvision 60 ft.; Passive Perception 15
Languages None
CR 2 (XP 450; PB +2)
Actions
Multiattack. The griffon makes two Rend attacks.
Rend. Melee Attack Roll: +6, reach 5 ft. Hit: 8 (1d8 + 4)
Piercing damage. If the target is a Medium or smaller
creature, it has the Grappled condition (escape DC 14)
from both of the griffon's front claws.</t>
  </si>
  <si>
    <t>Guardian Naga
Large Celestial, Lawful Good
AC 18		                     Initiative +4 (14)
HP 136 (16d10 + 48)
Speed 40 ft., Climb 40 ft., Swim 40 ft.
MOD SAVE             MOD SAVE             MOD SAVE
Str 19 +4 +4         Dex 18 +4 +8         Con 16 +3 +7
Int 16 +3 +7         Wis 19 +4 +8         Cha 18 +4 +8
Skills Arcana +11, History +11, Religion +11
Immunities Poison; Charmed, Paralyzed, Poisoned,
Restrained
Senses Darkvision 60 ft.; Passive Perception 14
Languages Celestial, Common
CR 10 (XP 5,900; PB +4)
Traits
Celestial Restoration. If the naga dies, it returns to life
in 1d6 days and regains all its Hit Points unless Dispel
Evil and Good is cast on its remains.
Actions
Multiattack. The naga makes two Bite attacks. It can
replace any attack with a use of Poisonous Spittle.
Bite. Melee Attack Roll: +8, reach 10 ft. Hit: 17 (2d12
+ 4) Piercing damage plus 22 (4d10) Poison damage.
Poisonous Spittle. Constitution Saving Throw: DC 16,
one creature the naga can see within 60 feet. Failure:
31 (7d8) Poison damage, and the target has the Blinded
condition until the start of the naga's next turn. Success:
Half damage only.
Spellcasting. The naga casts one of the following spells,
requiring no Somatic or Material components and using
Wisdom as the spellcasting ability (spell save DC 16):
At Will: Thaumaturgy
1/Day Each: Clairvoyance, Cure Wounds (level 6 ver-
sion), Flame Strike (level 6 version), Geas, True Seeing</t>
  </si>
  <si>
    <t>Half-Dragon
Medium Dragon, Neutral
AC 18		            Initiative +5 (15)
HP 105 (14d8 + 42)
Speed 40 ft.
MOD SAVE             MOD SAVE          MOD SAVE
Str 19 +4 +4          Dex 14 +2 +5        Con 16 +3 +3
Int 10 +0 +0          Wis 15 +2 +5        Cha 14 +2 +2
Skills Athletics +7, Perception +5, Stealth +5
Resistances Damage type chosen for the Draconic Origin
trait below
Senses Blindsight 10 ft., Darkvision 60 ft.;
Passive Perception 15
Languages Common, Draconic
CR 5 (XP 1,800; PB +3)
Traits
Draconic Origin. The half-dragon is related to a type
of dragon associated with one of the following damage
types (GM's choice): Acid, Cold, Fire, Lightning, or Poi-
son. This choice affects other aspects of the stat block.
Actions
Multiattack. The half-dragon makes two Claw attacks.
Claw. Melee Attack Roll: +7, reach 10 ft. Hit: 6 (1d4
+ 4) Slashing damage plus 7 (2d6) damage of the type
chosen for the Draconic Origin trait.
Dragon's Breath (Recharge 5â€“6). Dexterity Saving
Throw: DC 14, each creature in a 30-foot Cone. Failure:
28 (8d6) damage of the type chosen for the Draconic
Origin trait. Success: Half damage.
Bonus Actions
Leap. The half-dragon jumps up to 30 feet by spending
10 feet of movement.</t>
  </si>
  <si>
    <t>Harpy
Medium Monstrosity, Chaotic Evil
AC 11		                    Initiative +1 (11)
HP 38 (7d8 + 7)
Speed 20 ft., Fly 40 ft.
MOD SAVE             MOD SAVE          MOD SAVE
Str 12 +1 +1          Dex 13 +1 +1        Con 12 +1 +1
Int 7 âˆ’2 âˆ’2           Wis 10 +0 +0        Cha 13 +1 +1
Senses Passive Perception 10
Languages Common
CR 1 (XP 200; PB +2)
Actions
Claw. Melee Attack Roll: +3, reach 5 ft. Hit: 6 (2d4 + 1)
Slashing damage.
Luring Song. The harpy sings a magical melody, which
lasts until the harpy's Concentration ends on it. Wisdom
Saving Throw: DC 11, each Humanoid and Giant in a
300-foot Emanation originating from the harpy when
the song starts. Failure: The target has the Charmed
condition until the song ends and repeats the save at
the end of each of its turns. While Charmed, the target
has the Incapacitated condition and ignores the Luring
Song of other harpies. If the target is more than 5 feet
from the harpy, the target moves on its turn toward the
harpy by the most direct route, trying to get within 5
feet of the harpy. It doesn't avoid Opportunity Attacks;
however, before moving into damaging terrain (such
as lava or a pit) and whenever it takes damage from a
source other than the harpy, the target repeats the save.
Success: The target is immune to this harpy's Luring
Song for 24 hours.</t>
  </si>
  <si>
    <t>Understands Infernal but can't speak</t>
  </si>
  <si>
    <t>Hell Hound
Medium Fiend, Lawful Evil
AC 15		                     Initiative +1 (11)
HP 58 (9d8 + 18)
Speed 50 ft.
MOD SAVE             MOD SAVE            MOD SAVE
Str 17 +3 +3         Dex 12 +1 +1          Con 14 +2 +2
Int 6 âˆ’2 âˆ’2          Wis 13 +1 +1          Cha 6 âˆ’2 âˆ’2
Skills Perception +5
Immunities Fire
Senses Darkvision 60 ft.; Passive Perception 15
Languages Understands Infernal but can't speak
CR 3 (XP 700; PB +2)
Traits
Pack Tactics. The hound has Advantage on an attack
roll against a creature if at least one of the hound's al-
lies is within 5 feet of the creature and the ally doesn't
have the Incapacitated condition.
Actions
Multiattack. The hound makes two Bite attacks.
Bite. Melee Attack Roll: +5, reach 5 ft. Hit: 7 (1d8 + 3)
Piercing damage plus 3 (1d6) Fire damage.
Fire Breath (Recharge 5â€“6). Dexterity Saving Throw:
DC 12, each creature in a 15-foot Cone. Failure: 17
(5d6) Fire damage. Success: Half damage.</t>
  </si>
  <si>
    <t>Hippogriff
Large Monstrosity, Unaligned
AC 11		                    Initiative +1 (11)
HP 26 (4d10 + 4)
Speed 40 ft., Fly 60 ft.
MOD SAVE             MOD SAVE          MOD SAVE
Str 17 +3 +3          Dex 13 +1 +1        Con 13 +1 +1
Int 2 âˆ’4 âˆ’4           Wis 12 +1 +1        Cha 8 âˆ’1 âˆ’1
Skills Perception +5
Senses Passive Perception 15
Languages None
CR 1 (XP 200; PB +2)
Traits
Flyby. The hippogriff doesn't provoke an Opportunity
Attack when it flies out of an enemy's reach.
Actions
Multiattack. The hippogriff makes two Rend attacks.
Rend. Melee Attack Roll: +5, reach 5 ft. Hit: 7 (1d8 + 3)
Slashing damage.</t>
  </si>
  <si>
    <t>Hobgoblin Warrior
Medium Fey (Goblinoid), Lawful Evil
AC 18		                    Initiative +3 (13)
HP 11 (2d8 + 2)
Speed 30 ft.
MOD SAVE             MOD SAVE          MOD SAVE
Str 13 +1 +1          Dex 12 +1 +1        Con 12 +1 +1
Int 10 +0 +0          Wis 10 +0 +0        Cha 9 âˆ’1 âˆ’1
Gear Half Plate Armor, Longbow, Longsword, Shield
Senses Darkvision 60 ft.; Passive Perception 10
Languages Common, Goblin
CR 1/2 (XP 100; PB +2)
Traits
Pack Tactics. The hobgoblin has Advantage on an at-
tack roll against a creature if at least one of the hobgob-
lin's allies is within 5 feet of the creature and the ally
doesn't have the Incapacitated condition.
Actions
Longsword. Melee Attack Roll: +3, reach 5 ft. Hit: 12
(2d10 + 1) Slashing damage.
Longbow. Ranged Attack Roll: +3, range 150/600 ft.
Hit: 5 (1d8 + 1) Piercing damage plus 7 (3d4) Poi-
son damage.</t>
  </si>
  <si>
    <t>Hobgoblin Captain
Medium Fey (Goblinoid), Lawful Evil
AC 17		                    Initiative +4 (14)
HP 58 (9d8 + 18)
Speed 30 ft.
MOD SAVE            MOD SAVE            MOD SAVE
Str 15 +2 +2          Dex 14 +2 +2        Con 14 +2 +2
Int 12 +1 +1          Wis 10 +0 +0        Cha 13 +1 +1
Gear Greatsword, Half Plate Armor, Longbow
Senses Darkvision 60 ft.; Passive Perception 10
Languages Common, Goblin
CR 3 (XP 700; PB +2)
Traits
Aura of Authority. While in a 10-foot Emanation origi-
nating from the hobgoblin, the hobgoblin and its allies
have Advantage on attack rolls and saving throws,
provided the hobgoblin doesn't have the Incapacitated
condition.
Actions
Multiattack. The hobgoblin makes two attacks, using
Greatsword or Longbow in any combination.
Greatsword. Melee Attack Roll: +4, reach 5 ft. Hit: 9
(2d6 + 2) Slashing damage plus 3 (1d6) Poison damage.
Longbow. Ranged Attack Roll: +4, range 150/600
ft. Hit: 6 (1d8 + 2) Piercing damage plus 5 (2d4) Poi-
son damage.</t>
  </si>
  <si>
    <t>Homunculus
Tiny Construct, Neutral
AC 13		                    Initiative +2 (12)
HP 4 (1d4 + 2)
Speed 20 ft., Fly 40 ft.
MOD SAVE             MOD SAVE           MOD SAVE
Str 4 âˆ’3 âˆ’3           Dex 15 +2 +2        Con 14 +2 +2
Int 10 +0 +0          Wis 10 +0 +2        Cha 7 âˆ’2 +0
Immunities Poison; Charmed, Poisoned
Senses Darkvision 60 ft.; Passive Perception 10
Languages Understands Common plus one other language
but can't speak
CR 0 (XP 10; PB +2)
Traits
Telepathic Bond. While the homunculus is on the same
plane of existence as its master, the two of them can
communicate telepathically with each other.
Actions
Bite. Melee Attack Roll: +4, reach 5 ft. Hit: 1 Piercing
damage, and the target is subjected to the following
effect. Constitution Saving Throw: DC 12. Failure: The
target has the Poisoned condition until the end of the
homunculus's next turn. Failure by 5 or More: The tar-
get has the Poisoned condition for 1 minute. While Poi-
soned, the target has the Unconscious condition, which
ends early if the target takes any damage.</t>
  </si>
  <si>
    <t>Horned Devil
Large Fiend (Devil), Lawful Evil
AC 18		                    Initiative +7 (17)
HP 199 (19d10 + 95)
Speed 30 ft., Fly 60 ft.
MOD SAVE             MOD SAVE           MOD SAVE
Str 22 +6 +10 Dex 17 +3 +7                Con 21 +5 +5
Int 12 +1 +1 Wis 16 +3 +7                 Cha 18 +4 +8
Resistances Cold
Immunities Fire, Poison; Poisoned
Senses Darkvision 150 ft. (unimpeded by magical
Darkness); Passive Perception 13
Languages Infernal; telepathy 120 ft.
CR 11 (XP 7,200; PB +4)
Traits
Diabolical Restoration. If the devil dies outside the
Nine Hells, its body disappears in sulfurous smoke, and
it gains a new body instantly, reviving with all its Hit
Points somewhere in the Nine Hells.
Magic Resistance. The devil has Advantage on saving
throws against spells and other magical effects.
Actions
Multiattack. The devil makes three attacks, using Sear-
ing Fork or Hurl Flame in any combination. It can re-
place one attack with a use of Infernal Tail.
Searing Fork. Melee Attack Roll: +10, reach 10 ft. Hit:
15 (2d8 + 6) Piercing damage plus 9 (2d8) Fire damage.
Hurl Flame. Ranged Attack Roll: +8, range 150 ft. Hit:
26 (5d8 + 4) Fire damage. If the target is a flammable
object that isn't being worn or carried, it starts burning.
Infernal Tail. Dexterity Saving Throw: DC 17, one crea-
ture the devil can see within 10 feet. Failure: 10 (1d8
+ 6) Necrotic damage, and the target receives an infer-
nal wound if it doesn't have one. While wounded, the
target loses 10 (3d6) Hit Points at the start of each of
its turns. The wound closes after 1 minute, after a spell
restores Hit Points to the target, or after the target or a
creature within 5 feet of it takes an action to stanch the
wound, doing so by succeeding on a DC 17 Wisdom
(Medicine) check.</t>
  </si>
  <si>
    <t>Ice Devil
Large Fiend (Devil), Lawful Evil
AC 18		                     Initiative +7 (17)
HP 228 (24d10 + 96)
Speed 40 ft.
MOD SAVE                MOD SAVE         MOD SAVE
Str 21 +5 +5          Dex 14 +2 +7           Con 18 +4 +9
Int 18 +4 +4          Wis 15 +2 +7           Cha 18 +4 +9
Skills Insight +7, Perception +7, Persuasion +9
Immunities Cold, Fire, Poison; Poisoned
Senses Blindsight 120 ft.; Passive Perception 17
Languages Infernal; telepathy 120 ft.
CR 14 (XP 11,500; PB +5)
Traits
Diabolical Restoration. If the devil dies outside the
Nine Hells, its body disappears in sulfurous smoke, and
it gains a new body instantly, reviving with all its Hit
Points somewhere in the Nine Hells.
Magic Resistance. The devil has Advantage on saving
throws against spells and other magical effects.
Actions
Multiattack. The devil makes three Ice Spear attacks. It
can replace one attack with a Tail attack.
Ice Spear. Melee or Ranged Attack Roll: +10, reach 5
ft. or range 30/120 ft. Hit: 14 (2d8 + 5) Piercing damage
plus 10 (3d6) Cold damage. Until the end of its next
turn, the target can't take a Bonus Action or Reaction,
its Speed decreases by 10 feet, and it can move or take
one action on its turn, not both. Hit or Miss: The spear
magically returns to the devil's hand immediately after a
ranged attack.
Tail. Melee Attack Roll: +10, reach 10 ft. Hit: 15 (3d6
+ 5) Bludgeoning damage plus 18 (4d8) Cold damage.
Ice Wall (Recharge 6). The devil casts Wall of Ice (level
8 version), requiring no spell components and using In-
telligence as the spellcasting ability (spell save DC 17).</t>
  </si>
  <si>
    <t>Imp
Tiny Fiend (Devil), Lawful Evil
AC 13 		                    Initiative +3 (13)
HP 21 (6d4 + 6)
Speed 20 ft., Fly 40 ft.
MOD SAVE             MOD SAVE             MOD SAVE
Str 6 âˆ’2 âˆ’2          Dex 17 +3 +3         Con 13 +1 +1
Int 11 +0 +0         Wis 12 +1 +1         Cha 14 +2 +2
Skills Deception +4, Insight +3, Stealth +5
Resistances Cold
Immunities Fire, Poison; Poisoned
Senses Darkvision 120 ft. (unimpeded by magical
Darkness); Passive Perception 11
Languages Common, Infernal
CR 1 (XP 200; PB +2)
Traits
Magic Resistance. The imp has Advantage on saving
throws against spells and other magical effects.
Actions
Sting. Melee Attack Roll: +5, reach 5 ft. Hit: 6 (1d6 + 3)
Piercing damage plus 7 (2d6) Poison damage.
Invisibility. The imp casts Invisibility on itself, requiring
no spell components and using Charisma as the spell-
casting ability.
Shape-Shift. The imp shape-shifts to resemble a rat
(Speed 20 ft.), a raven (20 ft., Fly 60 ft.), or a spider
(20 ft., Climb 20 ft.), or it returns to its true form. Its
game statistics are the same in each form, except for
its Speed. Any equipment it is wearing or carrying isn't
transformed.</t>
  </si>
  <si>
    <t>Incubus
Medium Fiend, Neutral Evil
AC 15		                  Initiative +3 (13)
HP 66 (12d8 + 12)
Speed 30 ft., Fly 60 ft.
MOD SAVE             MOD SAVE             MOD SAVE
Str 8 âˆ’1 âˆ’1          Dex 17 +3 +3         Con 13 +1 +1
Int 15 +2 +2         Wis 12 +1 +1         Cha 20 +5 +5
Skills Deception +9, Insight +5, Perception +5, Persuasion
+9, Stealth +7
Resistances Cold, Fire, Poison, Psychic
Senses Darkvision 60 ft.; Passive Perception 15
Languages Abyssal, Common, Infernal; telepathy 60 ft.
CR 4 (XP 1,100; PB +2)
Traits
Succubus Form. When the incubus finishes a Long
Rest, it can shape-shift into a Succubus, using that stat
block instead of this one. Any equipment it is wearing
or carrying isn't transformed.
Actions
Multiattack. The incubus makes two Restless
Touch attacks.
Restless Touch. Melee Attack Roll: +7, reach 5 ft.
Hit: 15 (3d6 + 5) Psychic damage, and the target is
cursed for 24 hours or until the incubus dies. Until the
curse ends, the target gains no benefit from finishing
Short Rests.
Spellcasting. The incubus casts one of the following
spells, requiring no Material components and using
Charisma as the spellcasting ability (spell save DC 15):
At Will: Disguise Self, Etherealness
1/Day Each: Dream, Hypnotic Pattern
Bonus Actions
Nightmare (Recharge 6). Wisdom Saving Throw: DC
15, one creature the incubus can see within 60 feet.
Failure: If the target has 20 Hit Points or fewer, it has
the Unconscious condition for 1 hour, until it takes
damage, or until a creature within 5 feet of it takes an
action to wake it. Otherwise, the target takes 18 (4d8)
Psychic damage.</t>
  </si>
  <si>
    <t>Invisible Stalker
Large Elemental, Neutral
AC 14		                      Initiative +7 (22)
HP 97 (13d10 + 26)
Speed 50 ft., Fly 50 ft. (hover)
MOD SAVE              MOD SAVE           MOD SAVE
Str 16 +3 +3          Dex 19 +4 +4         Con 14 +2 +2
Int 10 +0 +0          Wis 15 +2 +2         Cha 11 +0 +0
Skills Perception +8, Stealth +10
Resistances Bludgeoning, Piercing, Slashing
Immunities Poison; Exhaustion, Grappled, Paralyzed,
Petrified, Poisoned, Prone, Restrained, Unconscious
Senses Darkvision 60 ft.; Passive Perception 18
Languages Common, Primordial (Auran)
CR 6 (XP 2,300; PB +3)
Traits
Air Form. The stalker can enter an enemy's space and
stop there. It can move through a space as narrow as 1
inch without expending extra movement to do so.
Invisibility. The stalker has the Invisible condition.
Actions
Multiattack. The stalker makes three Wind Swipe at-
tacks. It can replace one attack with a use of Vortex.
Wind Swipe. Melee Attack Roll: +7, reach 5 ft. Hit: 11
(2d6 + 4) Force damage.
Vortex. Constitution Saving Throw: DC 14, one Large
or smaller creature in the stalker's space. Failure: 7 (1d8
+ 3) Thunder damage, and the target has the Grappled
condition (escape DC 13). Until the grapple ends, the
target can't cast spells with a Verbal component and
takes 7 (2d6) Thunder damage at the start of each of the
stalker's turns.</t>
  </si>
  <si>
    <t>Understands Common plus two other languages but can't speak</t>
  </si>
  <si>
    <t>Iron Golem
Large Construct, Unaligned
AC 20		                   Initiative +9 (19)
HP 252 (24d10 + 120)
Speed 30 ft.
MOD SAVE           MOD SAVE           MOD SAVE
Str 24 +7 +7         Dex 9 âˆ’1 âˆ’1        Con 20 +5 +5
Int 3 âˆ’4 âˆ’4          Wis 11 +0 +0       Cha 1 âˆ’5 âˆ’5
Immunities Fire, Poison, Psychic; Charmed, Exhaustion,
Frightened, Paralyzed, Petrified, Poisoned
Senses Darkvision 120 ft.; Passive Perception 10
Languages Understands Common plus two other
languages but can't speak
CR 16 (XP 15,000; PB +5)
Traits
Fire Absorption. Whenever the golem is subjected to
Fire damage, it regains a number of Hit Points equal to
the Fire damage dealt.
Immutable Form. The golem can't shape-shift.
Magic Resistance. The golem has Advantage on saving
throws against spells and other magical effects.
Actions
Multiattack. The golem makes two attacks, using
Bladed Arm or Fiery Bolt in any combination.
Bladed Arm. Melee Attack Roll: +12, reach 10 ft.
Hit: 20 (3d8 + 7) Slashing damage plus 10 (3d6)
Fire damage.
Fiery Bolt. Ranged Attack Roll: +10, range 120 ft. Hit:
36 (8d8) Fire damage.
Poison Breath (Recharge 6). Constitution Saving
Throw: DC 18, each creature in a 60-foot Cone. Fail-
ure: 55 (10d10) Poison damage. Success: Half damage.</t>
  </si>
  <si>
    <t>Kobold Warrior
Small Dragon, Neutral
AC 14		                    Initiative +2 (12)
HP 7 (3d6 âˆ’ 3)
Speed 30 ft.
MOD SAVE             MOD SAVE            MOD SAVE
Str 7 âˆ’2 âˆ’2          Dex 15 +2 +2         Con 9 âˆ’1 âˆ’1
Int 8 âˆ’1 âˆ’1          Wis 7 âˆ’2 âˆ’2          Cha 8 âˆ’1 âˆ’1
Gear Daggers (3)
Senses Darkvision 60 ft.; Passive Perception 8
Languages Common, Draconic
CR 1/8 (XP 25; PB +2)
Traits
Pack Tactics. The kobold has Advantage on an attack
roll against a creature if at least one of the kobold's al-
lies is within 5 feet of the creature and the ally doesn't
have the Incapacitated condition.
Sunlight Sensitivity. While in sunlight, the kobold has
Disadvantage on ability checks and attack rolls.
Actions
Dagger. Melee or Ranged Attack Roll: +4, reach 5 ft. or
range 20/60 ft. Hit: 4 (1d4 + 2) Piercing damage.</t>
  </si>
  <si>
    <t>Understands Abyssal, Celestial, Infernal, and Primordial but can't speak; telepathy 120 ft.</t>
  </si>
  <si>
    <t>Kraken
Gargantuan Monstrosity (Titan), Chaotic Evil
AC 18		                    Initiative +14 (24)
HP 481 (26d20 + 208)
Speed 30 ft., Swim 120 ft.
MOD SAVE             MOD SAVE           MOD SAVE
Str 30 +10 +17 Dex 11 +0 +7 Con 26 +8 +15
Int 22 +6 +6 Wis 18 +4 +11 Cha 20 +5 +5
Skills History +13, Perception +11
Immunities Cold, Lightning; Frightened, Grappled,
Paralyzed, Restrained
Senses Truesight 120 ft.; Passive Perception 21
Languages Understands Abyssal, Celestial, Infernal, and
Primordial but can't speak; telepathy 120 ft.
CR 23 (XP 50,000, or 62,000 in lair; PB +7)
Traits
Amphibious. The kraken can breathe air and water.
Legendary Resistance (4/Day, or 5/Day in Lair). If
the kraken fails a saving throw, it can choose to suc-
ceed instead.
Siege Monster. The kraken deals double damage to ob-
jects and structures.
Actions
Multiattack. The kraken makes two Tentacle attacks
and uses Fling, Lightning Strike, or Swallow.
Tentacle. Melee Attack Roll: +17, reach 30 ft. Hit: 24
(4d6 + 10) Bludgeoning damage. The target has the
Grappled condition (escape DC 20) from one of ten
tentacles, and it has the Restrained condition until the
grapple ends.
Fling. The kraken throws a Large or smaller creature
Grappled by it to a space it can see within 60 feet of
itself that isn't in the air. Dexterity Saving Throw: DC
25, the creature thrown and each creature in the des-
tination space. Failure: 18 (4d8) Bludgeoning damage,
and the target has the Prone condition. Success: Half
damage only.
Lightning Strike. Dexterity Saving Throw: DC 23, one
creature the kraken can see within 120 feet. Failure: 33
(6d10) Lightning damage. Success: Half damage.
Swallow. Dexterity Saving Throw: DC 25, one creature
Grappled by the kraken (it can have up to four crea-
tures swallowed at a time). Failure: 23 (3d8 + 10) Pierc-
ing damage. If the target is Large or smaller, it is swal-
lowed and no longer Grappled. A swallowed creature
has the Restrained condition, has Total Cover against
attacks and other effects outside the kraken, and takes
24 (7d6) Acid damage at the start of each of its turns.
If the kraken takes 50 damage or more on a single
turn from a creature inside it, the kraken must succeed
on a DC 25 Constitution saving throw at the end of
that turn or regurgitate all swallowed creatures, each of
which falls in a space within 10 feet of the kraken with
the Prone condition. If the kraken dies, any swallowed
creature no longer has the Restrained condition and
can escape from the corpse using 15 feet of movement,
exiting Prone.
Legendary Actions
Legendary Action Uses: 3 (4 in Lair). Immediately after
another creature's turn, the kraken can expend a use to
take one of the following actions. The kraken regains all
expended uses at the start of each of its turns.
Storm Bolt. The kraken uses Lightning Strike.
Toxic Ink. Constitution Saving Throw: DC 23, each
creature in a 15-foot Emanation originating from the
kraken while it is underwater. Failure: The target has
the Blinded and Poisoned conditions until the end of
the kraken's next turn. The kraken then moves up to
its Speed. Failure or Success: The kraken can't take this
action again until the start of its next turn.</t>
  </si>
  <si>
    <t>Lemure
Medium Fiend (Devil), Lawful Evil
AC 9		                     Initiative âˆ’3 (7)
HP 9 (2d8)
Speed 20 ft.
MOD SAVE             MOD SAVE            MOD SAVE
Str 10 +0 +0         Dex 5 âˆ’3 âˆ’3          Con 11 +0 +0
Int 1 âˆ’5 âˆ’5          Wis 11 +0 +0         Cha 3 âˆ’4 âˆ’4
Resistances Cold
Immunities Fire, Poison; Charmed, Frightened, Poisoned
Senses Darkvision 120 ft. (unimpeded by magical
Darkness); Passive Perception 10
Languages Understands Infernal but can't speak
CR 0 (XP 10; PB +2)
Traits
Hellish Restoration. If the lemure dies in the Nine
Hells, it revives with all its Hit Points in 1d10 days un-
less it is killed by a creature under the effects of a Bless
spell or its remains are sprinkled with Holy Water.
Actions
Vile Slime. Melee Attack Roll: +2, reach 5 ft. Hit: 2
(1d4) Poison damage.</t>
  </si>
  <si>
    <t>Lich
Medium Undead (Wizard), Neutral Evil
AC 20		                    Initiative +17 (27)
HP 315 (42d8 + 126)
Speed 30 ft.
MOD SAVE             MOD SAVE            MOD SAVE
Str 11 +0 +0 Dex 16 +3 +10 Con 16 +3 +10
Int 21 +5 +12 Wis 14 +2 +9 Cha 16 +3 +3
Skills Arcana +19, History +12, Insight +9, Perception +9
Resistances Cold, Lightning
Immunities Necrotic, Poison; Charmed, Exhaustion,
Frightened, Paralyzed, Poisoned
Gear Component Pouch
Senses Truesight 120 ft.; Passive Perception 19
Languages All
CR 21 (XP 33,000, or 41,000 in lair; PB +7)
Traits
Legendary Resistance (4/Day, or 5/Day in Lair). If
the lich fails a saving throw, it can choose to suc-
ceed instead.
Spirit Jar. If destroyed, the lich reforms in 1d10 days
if it has a spirit jar, reviving with all its Hit Points. The
new body appears in an unoccupied space within the
lich's lair.
Actions
Multiattack. The lich makes three attacks, using El-
dritch Burst or Paralyzing Touch in any combination.
Eldritch Burst. Melee or Ranged Attack Roll: +12, reach
5 ft. or range 120 ft. Hit: 31 (4d12 + 5) Force damage.
Paralyzing Touch. Melee Attack Roll: +12, reach 5
ft. Hit: 15 (3d6 + 5) Cold damage, and the target has
the Paralyzed condition until the start of the lich's
next turn.
Spellcasting. The lich casts one of the following spells,
using Intelligence as the spellcasting ability (spell
save DC 20):
At Will: Detect Magic, Detect Thoughts, Dispel Magic,
Fireball (level 5 version), Invisibility, Lightning Bolt
(level 5 version), Mage Hand, Prestidigitation
2/Day Each: Animate Dead, Dimension Door,
Plane Shift
1/Day Each: Chain Lightning, Finger of Death, Power
Word Kill, Scrying
Reactions
Protective Magic. The lich casts Counterspell or Shield
in response to the spell's trigger, using the same spell-
casting ability as Spellcasting.
Legendary Actions
Legendary Action Uses: 3 (4 in Lair). Immediately after
another creature's turn, the lich can expend a use to take
one of the following actions. The lich regains all expended
uses at the start of each of its turns.
Deathly Teleport. The lich teleports up to 60 feet to
an unoccupied space it can see, and each creature
within 10 feet of the space it left takes 11 (2d10) Ne-
crotic damage.
Disrupt Life. Constitution Saving Throw: DC 20, each
creature that isn't an Undead in a 20-foot Emanation
originating from the lich. Failure: 31 (9d6) Necrotic
damage. Success: Half damage. Failure or Success:
The lich can't take this action again until the start of its
next turn.
Frightening Gaze. The lich casts Fear, using the same
spellcasting ability as Spellcasting. The lich can't take
this action again until the start of its next turn.</t>
  </si>
  <si>
    <t>Mage
Medium or Small Humanoid (Wizard), Neutral
AC 15		                     Initiative +2 (12)
HP 81 (18d8)
Speed 30 ft.
MOD SAVE             MOD SAVE             MOD SAVE
Str 9 âˆ’1 âˆ’1          Dex 14 +2 +2          Con 11 +0 +0
Int 17 +3 +6         Wis 12 +1 +4          Cha 11 +0 +0
Skills Arcana +6, History +6, Perception +4
Gear Wand
Senses Passive Perception 14
Languages Common plus three other languages
CR 6 (XP 2,300; PB +3)
Actions
Multiattack. The mage makes three Arcane
Burst attacks.
Arcane Burst. Melee or Ranged Attack Roll: +6, reach
5 ft. or range 120 ft. Hit: 16 (3d8 + 3) Force damage.
Spellcasting. The mage casts one of the following
spells, using Intelligence as the spellcasting ability (spell
save DC 14):
At Will: Detect Magic, Light, Mage Armor (included in
AC), Mage Hand, Prestidigitation
2/Day Each: Fireball (level 4 version), Invisibility
1/Day Each: Cone of Cold, Fly
Bonus Actions
Misty Step (3/Day). The mage casts Misty Step, using
the same spellcasting ability as Spellcasting.
Reactions
Protective Magic (3/Day). The mage casts Counterspell
or Shield in response to the spell's trigger, using the
same spellcasting ability as Spellcasting.</t>
  </si>
  <si>
    <t>Archmage
Medium or Small Humanoid (Wizard), Neutral
AC 17		                     Initiative +7 (17)
HP 170 (31d8 + 31)
Speed 30 ft.
MOD SAVE             MOD SAVE             MOD SAVE
Str 10 +0 +0         Dex 14 +2 +2          Con 12 +1 +1
Int 20 +5 +9         Wis 15 +2 +6          Cha 16 +3 +3
Skills Arcana +13, History +9, Perception +6
Immunities Psychic; Charmed (with Mind Blank)
Gear Wand
Senses Passive Perception 16
Languages Common plus five other languages
CR 12 (XP 8,000; PB +4)
Traits
Magic Resistance. The archmage has Advantage on
saving throws against spells and other magical effects.
Actions
Multiattack. The archmage makes four Arcane
Burst attacks.
Arcane Burst. Melee or Ranged Attack Roll: +9, reach
5 ft. or range 150 ft. Hit: 27 (4d10 + 5) Force damage.
Spellcasting. The archmage casts one of the following
spells, using Intelligence as the spellcasting ability (spell
save DC 17):
At Will: Detect Magic, Detect Thoughts, Disguise Self,
Invisibility, Light, Mage Armor (included in AC), Mage
Hand, Prestidigitation
2/Day Each: Fly, Lightning Bolt (level 7 version)
1/Day Each: Cone of Cold (level 9 version), Mind Blank
(cast before combat), Scrying, Teleport
Bonus Actions
Misty Step (3/Day). The mage casts Misty Step, using
the same spellcasting ability as Spellcasting.
Reactions
Protective Magic (3/Day). The archmage casts Coun-
terspell or Shield in response to the spell's trigger, using
the same spellcasting ability as Spellcasting.</t>
  </si>
  <si>
    <t>Magmin
Small Elemental, Chaotic Neutral
AC 14		                     Initiative +2 (12)
HP 13 (3d6 + 3)
Speed 30 ft.
MOD SAVE             MOD SAVE             MOD SAVE
Str 7 âˆ’2 âˆ’2          Dex 15 +2 +2          Con 12 +1 +1
Int 8 âˆ’1 âˆ’1          Wis 11 +0 +0          Cha 10 +0 +0
Immunities Fire
Senses Darkvision 60 ft.; Passive Perception 10
Languages Primordial (Ignan)
CR 1/2 (XP 100; PB +2)
Traits
Death Burst. The magmin explodes when it dies. Dex-
terity Saving Throw: DC 11, each creature in a 10-foot
Emanation originating from the magmin. Failure: 7 (2d6)
Fire damage. Success: Half damage.
Actions
Touch. Melee Attack Roll: +4, reach 5 ft. Hit: 7 (2d4 +
2) Fire damage. If the target is a creature or a flammable
object that isn't being worn or carried, it starts burning.
Bonus Actions
Ignited Illumination. The magmin sets itself ablaze
or extinguishes its flames. While ablaze, the magmin
sheds Bright Light in a 10-foot radius and Dim Light for
an additional 10 feet.</t>
  </si>
  <si>
    <t>Dust Mephit
Small Elemental, Neutral Evil
AC 12		                     Initiative +2 (12)
HP 17 (5d6)
Speed 30 ft., Fly 30 ft.
MOD SAVE              MOD SAVE            MOD SAVE
Str 5 âˆ’3 âˆ’3           Dex 14 +2 +2         Con 10 +0 +0
Int 9 âˆ’1 âˆ’1           Wis 11 +0 +0         Cha 10 +0 +0
Skills Perception +2, Stealth +4
Vulnerabilities Fire
Immunities Poison; Exhaustion, Poisoned
Senses Darkvision 60 ft.; Passive Perception 12
Languages Primordial (Auran, Terran)
CR 1/2 (XP 100; PB +2)
Traits
Death Burst. The mephit explodes when it dies. Dex-
terity Saving Throw: DC 10, each creature in a 5-foot
Emanation originating from the mephit. Failure: 5 (2d4)
Bludgeoning damage. Success: Half damage.
Actions
Claw. Melee Attack Roll: +4, reach 5 ft. Hit: 4 (1d4 + 2)
Slashing damage.
Blinding Breath (Recharge 6). Dexterity Saving Throw:
DC 10, each creature in a 15-foot Cone. Failure: The
target has the Blinded condition until the end of the
mephit's next turn.
Sleep (1/Day). The mephit casts the Sleep spell, requir-
ing no spell components and using Charisma as the
spellcasting ability (spell save DC 10).</t>
  </si>
  <si>
    <t>Steam Mephit
Small Elemental, Neutral Evil
AC 10		                    Initiative +0 (10)
HP 17 (5d6)
Speed 30 ft., Fly 30 ft.
MOD SAVE              MOD SAVE          MOD SAVE
Str 5 âˆ’3 âˆ’3           Dex 11 +0 +0         Con 10 +0 +0
Int 11 +0 +0          Wis 10 +0 +0         Cha 12 +1 +1
Skills Stealth +2
Immunities Fire, Poison; Exhaustion, Poisoned
Senses Darkvision 60 ft.; Passive Perception 10
Languages Primordial (Aquan, Ignan)
CR 1/4 (XP 50; PB +2)
Traits
Blurred Form. Attack rolls against the mephit are made
with Disadvantage unless the mephit has the Incapaci-
tated condition.
Death Burst. The mephit explodes when it dies. Dex-
terity Saving Throw: DC 10, each creature in a 5-foot
Emanation originating from the mephit. Failure: 5 (2d4)
Fire damage. Success: Half damage.
Actions
Claw. Melee Attack Roll: +2, reach 5 ft. Hit: 2 (1d4)
Slashing damage plus 2 (1d4) Fire damage.
Steam Breath (Recharge 6). Constitution Saving Throw:
DC 10, each creature in a 15-foot Cone. Failure: 5 (2d4)
Fire damage, and the target's Speed decreases by 10
feet until the end of the mephit's next turn. Success:
Half damage only. Failure or Success: Being underwater
doesn't grant Resistance to this Fire damage.</t>
  </si>
  <si>
    <t>Merfolk Skirmisher
Medium Elemental, Neutral
AC 11		                   Initiative +1 (11)
HP 11 (2d8 + 2)
Speed 10 ft., Swim 40 ft.
MOD SAVE              MOD SAVE          MOD SAVE
Str 10 +0 +0          Dex 13 +1 +1         Con 12 +1 +1
Int 11 +0 +0          Wis 14 +2 +2         Cha 12 +1 +1
Senses Passive Perception 12
Languages Common, Primordial (Aquan)
CR 1/8 (XP 25; PB +2)
Traits
Amphibious. The merfolk can breathe air and water.
Actions
Ocean Spear. Melee or Ranged Attack Roll: +2, reach 5
ft. or range 20/60 ft. Hit: 3 (1d6) Piercing damage plus 2
(1d4) Cold damage. If the target is a creature, its Speed
decreases by 10 feet until the end of its next turn. Hit or
Miss: The spear magically returns to the merfolk's hand
immediately after a ranged attack.</t>
  </si>
  <si>
    <t>Merrow
Large Monstrosity, Chaotic Evil
AC 13		                   Initiative +2 (12)
HP 45 (6d10 + 12)
Speed 10 ft., Swim 40 ft.
MOD SAVE            MOD SAVE            MOD SAVE
Str 18 +4 +4         Dex 15 +2 +2         Con 15 +2 +2
Int 8 âˆ’1 âˆ’1          Wis 10 +0 +0         Cha 9 âˆ’1 âˆ’1
Senses Darkvision 60 ft.; Passive Perception 10
Languages Abyssal, Primordial (Aquan)
CR 2 (XP 450; PB +2)
Traits
Amphibious. The merrow can breathe air and water.
Actions
Multiattack. The merrow makes two attacks, using Bite,
Claw, or Harpoon in any combination.
Bite. Melee Attack Roll: +6, reach 5 ft. Hit: 6 (1d4 + 4)
Piercing damage, and the target has the Poisoned con-
dition until the end of the merrow's next turn.
Claw. Melee Attack Roll: +6, reach 5 ft. Hit: 9 (2d4 + 4)
Slashing damage.
Harpoon. Melee or Ranged Attack Roll: +6, reach 5 ft.
or range 20/60 ft. Hit: 11 (2d6 + 4) Piercing damage.
If the target is a Large or smaller creature, the merrow
pulls the target up to 15 feet straight toward itself.</t>
  </si>
  <si>
    <t>Mimic
Medium Monstrosity, Neutral
AC 12		                    Initiative +3 (13)
HP 58 (9d8 + 18)
Speed 20 ft.
MOD SAVE            MOD SAVE            MOD SAVE
Str 17 +3 +3         Dex 12 +1 +1         Con 15 +2 +2
Int 5 âˆ’3 âˆ’3          Wis 13 +1 +1         Cha 8 âˆ’1 âˆ’1
Skills Stealth +5
Immunities Acid; Prone
Senses Darkvision 60 ft.; Passive Perception 11
Languages None
CR 2 (XP 450; PB +2)
Traits
Adhesive (Object Form Only). The mimic adheres to
anything that touches it. A Huge or smaller creature ad-
hered to the mimic has the Grappled condition (escape
DC 13). Ability checks made to escape this grapple
have Disadvantage.
Actions
Bite. Melee Attack Roll: +5 (with Advantage if the target
is Grappled by the mimic), reach 5 ft. Hit: 7 (1d8 + 3)
Piercing damageâ€”or 12 (2d8 + 3) Piercing damage
if the target is Grappled by the mimicâ€”plus 4 (1d8)
Acid damage.
Pseudopod. Melee Attack Roll: +5, reach 5 ft. Hit: 7
(1d8 + 3) Bludgeoning damage plus 4 (1d8) Acid dam-
age. If the target is a Large or smaller creature, it has
the Grappled condition (escape DC 13). Ability checks
made to escape this grapple have Disadvantage.
Bonus Actions
Shape-Shift. The mimic shape-shifts to resemble a Me-
dium or Small object while retaining its game statistics,
or it returns to its true blob form. Any equipment it is
wearing or carrying isn't transformed.</t>
  </si>
  <si>
    <t>Mummy
Medium or Small Undead, Lawful Evil
AC 11		                   Initiative âˆ’1 (9)
HP 58 (9d8 + 18)
Speed 20 ft.
MOD SAVE           MOD SAVE            MOD SAVE
Str 16 +3 +3         Dex 8 âˆ’1 âˆ’1         Con 15 +2 +2
Int 6 âˆ’2 âˆ’2          Wis 12 +1 +3        Cha 12 +1 +1
Vulnerabilities Fire
Immunities Necrotic, Poison; Charmed, Exhaustion,
Frightened, Paralyzed, Poisoned
Senses Darkvision 60 ft.; Passive Perception 11
Languages Common plus two other languages
CR 3 (XP 700; PB +2)
Actions
Multiattack. The mummy makes two Rotting Fist at-
tacks and uses Dreadful Glare.
Rotting Fist. Melee Attack Roll: +5, reach 5 ft. Hit: 8
(1d10 + 3) Bludgeoning damage plus 10 (3d6) Necrotic
damage. If the target is a creature, it is cursed. While
cursed, the target can't regain Hit Points, its Hit Point
maximum doesn't return to normal when finishing a
Long Rest, and its Hit Point maximum decreases by 10
(3d6) every 24 hours that elapse. A creature dies and
turns to dust if reduced to 0 Hit Points by this attack.
Dreadful Glare. Wisdom Saving Throw: DC 11, one
creature the mummy can see within 60 feet. Failure:
The target has the Frightened condition until the end of
the mummy's next turn. Success: The target is immune
to this mummy's Dreadful Glare for 24 hours.</t>
  </si>
  <si>
    <t>Mummy Lord
Medium or Small Undead (Cleric), Lawful Evil
AC 17		                   Initiative +10 (20)
HP 187 (25d8 + 75)
Speed 30 ft.
MOD SAVE           MOD SAVE            MOD SAVE
Str 18 +4 +4         Dex 10 +0 +0        Con 17 +3 +3
Int 11 +0 +5         Wis 19 +4 +9        Cha 16 +3 +3
Skills History +5, Perception +9, Religion +5
Vulnerabilities Fire
Immunities Necrotic, Poison; Charmed, Exhaustion,
Frightened, Paralyzed, Poisoned
Senses Truesight 60 ft.; Passive Perception 19
Languages Common plus three other languages
CR 15 (XP 13,000, or 15,000 in lair; PB +5)
Traits
Legendary Resistance (3/Day, or 4/Day in Lair). If
the mummy fails a saving throw, it can choose to suc-
ceed instead.
Magic Resistance. The mummy has Advantage on sav-
ing throws against spells and other magical effects.
Undead Restoration. If destroyed, the mummy gains a
new body in 24 hours if its heart is intact, reviving with
all its Hit Points. The new body appears in an unoccu-
pied space within the mummy's lair. The heart is a Tiny
object that has AC 17, HP 10, and Immunity to all dam-
age except Fire.
Actions
Multiattack. The mummy makes one Rotting Fist
or Channel Negative Energy attack, and it uses
Dreadful Glare.
Rotting Fist. Melee Attack Roll: +9, reach 5 ft. Hit: 15
(2d10 + 4) Bludgeoning damage plus 10 (3d6) Necrotic
damage. If the target is a creature, it is cursed. While
cursed, the target can't regain Hit Points, it gains no
benefit from finishing a Long Rest, and its Hit Point
maximum decreases by 10 (3d6) every 24 hours that
elapse. A creature dies and turns to dust if reduced to 0
Hit Points by this attack.
Channel Negative Energy. Ranged Attack Roll: +9,
range 60 ft. Hit: 25 (6d6 + 4) Necrotic damage.
Dreadful Glare. Wisdom Saving Throw: DC 17, one
creature the mummy can see within 60 feet. Failure: 25
(6d6 + 4) Psychic damage, and the target has the Para-
lyzed condition until the end of the mummy's next turn.
Spellcasting. The mummy casts one of the following
spells, requiring no Material components and using
Wisdom as the spellcasting ability (spell save DC 17, +9
to hit with spell attacks):
At Will: Dispel Magic, Thaumaturgy
1/Day Each: Animate Dead, Harm, Insect Plague (level
7 version)
Reactions
Whirlwind of Sand. Trigger: The mummy is hit by an
attack roll. Response: The mummy adds 2 to its AC
against the attack, possibly causing the attack to miss,
and the mummy teleports up to 60 feet to an unoccu-
pied space it can see. Each creature of its choice that
it can see within 5 feet of its destination space has
the Blinded condition until the end of the mummy's
next turn.
Legendary Actions
Legendary Action Uses: 3 (4 in Lair). Immediately after
another creature's turn, the mummy can expend a use to
take one of the following actions. The mummy regains all
expended uses at the start of each of its turns.
Dread Command. The mummy casts Command (level
2 version), using the same spellcasting ability as Spell-
casting. The mummy can't take this action again until
the start of its next turn.
Glare. The mummy uses Dreadful Glare. The mummy
can't take this action again until the start of its
next turn.
Necrotic Strike. The mummy makes one Rotting Fist or
Channel Negative Energy attack.</t>
  </si>
  <si>
    <t>Nalfeshnee
Large Fiend (Demon), Chaotic Evil
AC 18		                    Initiative +5 (15)
HP 184 (16d10 + 96)
Speed 20 ft., Fly 30 ft.
MOD SAVE            MOD SAVE            MOD SAVE
Str 21 +5 +5          Dex 10 +0 +0       Con 22 +6 +11
Int 19 +4 +9          Wis 12 +1 +6       Cha 15 +2 +7
Resistances Cold, Fire, Lightning
Immunities Poison; Frightened, Poisoned
Senses Truesight 120 ft.; Passive Perception 11
Languages Abyssal; telepathy 120 ft.
CR 13 (XP 10,000; PB +5)
Traits
Demonic Restoration. If the nalfeshnee dies outside the
Abyss, its body dissolves into ichor, and it gains a new
body instantly, reviving with all its Hit Points some-
where in the Abyss.
Magic Resistance. The nalfeshnee has Advantage on
saving throws against spells and other magical effects.
Actions
Multiattack. The nalfeshnee makes three Rend attacks.
Rend. Melee Attack Roll: +10, reach 10 ft. Hit: 16 (2d10
+ 5) Slashing damage plus 11 (2d10) Force damage.
Teleport. The nalfeshnee teleports up to 120 feet to an
unoccupied space it can see.
Bonus Actions
Horror Nimbus (Recharge 5â€“6). Wisdom Saving
Throw: DC 15, each creature in a 15-foot Emanation
originating from the nalfeshnee. Failure: 28 (8d6) Psy-
chic damage, and the target has the Frightened condi-
tion for 1 minute, until it takes damage, or until it ends
its turn with the nalfeshnee out of line of sight. Success:
The target is immune to this nalfeshnee's Horror Nim-
bus for 24 hours.
Reactions
Pursuit. Trigger: Another creature the nalfeshnee can
see ends its move within 120 feet of the nalfeshnee.
Response: The nalfeshnee uses Teleport, but its des-
tination space must be within 10 feet of the trigger-
ing creature.</t>
  </si>
  <si>
    <t>Night Hag
Medium Fiend, Neutral Evil
AC 17		                    Initiative +5 (15)
HP 112 (15d8 + 45)
Speed 30 ft.
MOD SAVE            MOD SAVE             MOD SAVE
Str 18 +4 +4         Dex 15 +2 +2        Con 16 +3 +3
Int 16 +3 +3         Wis 14 +2 +2        Cha 16 +3 +3
Skills Deception +6, Insight +5, Perception +5, Stealth +5
Resistances Cold, Fire
Immunities Charmed
Senses Darkvision 120 ft.; Passive Perception 15
Languages Abyssal, Common, Infernal, Primordial
CR 5 (XP 1,800; PB +3)
Traits
Coven Magic. While within 30 feet of at least two hag
allies, the hag can cast one of the following spells,
requiring no Material components, using the spell's
normal casting time, and using Intelligence as the spell-
casting ability (spell save DC 14): Augury, Find Familiar,
Identify, Locate Object, Scrying, or Unseen Servant.
The hag must finish a Long Rest before using this trait to
cast that spell again.
Magic Resistance. The hag has Advantage on saving
throws against spells and other magical effects.
Soul Bag. The hag has a soul bag. While holding or
carrying the bag, the hag can use its Nightmare Haunt-
ing action.
The bag has AC 15, HP 20, and Resistance to all dam-
age. The bag turns to dust if reduced to 0 Hit Points. If
the bag is destroyed, any souls the bag is holding are
released. The hag can create a new bag after 7 days.
Actions
Multiattack. The hag makes two Claw attacks.
Claw. Melee Attack Roll: +7, reach 5 ft. Hit: 13 (2d8
+ 4) Slashing damage.
Nightmare Haunting (1/Day; Requires Soul Bag).
While on the Ethereal Plane, the hag casts Dream, us-
ing the same spellcasting ability as Spellcasting. Only
the hag can serve as the spell's messenger, and the tar-
get must be a creature the hag can see on the Material
Plane. The spell fails and is wasted if the target is under
the effect of the Protection from Evil and Good spell or
within a Magic Circle spell.
If the target takes damage from the Dream spell, the
target's Hit Point maximum decreases by an amount
equal to that damage. If the spell kills the target, its soul
is trapped in the hag's soul bag, and the target can't be
raised from the dead until its soul is released.
Spellcasting. The hag casts one of the following spells,
requiring no Material components and using Intelli-
gence as the spellcasting ability (spell save DC 14):
At Will: Detect Magic, Etherealness, Magic Missile
(level 4 version)
2/Day Each: Phantasmal Killer, Plane Shift (self only)
Bonus Actions
Shape-Shift. The hag shape-shifts into a Small or Me-
dium Humanoid, or it returns to its true form. Other
than its size, its game statistics are the same in each
form. Any equipment it is wearing or carrying isn't
transformed.</t>
  </si>
  <si>
    <t>Understands Abyssal, Common, and Infernal but can't speak</t>
  </si>
  <si>
    <t>Nightmare
Large Fiend, Neutral Evil
AC 13		                      Initiative +2 (12)
HP 68 (8d10 + 24)
Speed 60 ft., Fly 90 ft. (hover)
MOD SAVE              MOD SAVE            MOD SAVE
Str 18 +4 +4          Dex 15 +2 +2          Con 16 +3 +3
Int 10 +0 +0          Wis 13 +1 +1          Cha 15 +2 +2
Immunities Fire
Senses Passive Perception 11
Languages Understands Abyssal, Common, and Infernal
but can't speak
CR 3 (XP 700; PB +2)
Traits
Confer Fire Resistance. The nightmare can grant Re-
sistance to Fire damage to a rider while it is on the
nightmare.
Illumination. The nightmare sheds Bright Light in a 10-
foot radius and Dim Light for an additional 10 feet.
Actions
Hooves. Melee Attack Roll: +6, reach 5 ft. Hit: 13 (2d8
+ 4) Bludgeoning damage plus 10 (3d6) Fire damage.
Ethereal Stride. The nightmare and up to three willing
creatures within 5 feet of it teleport to the Ethereal
Plane from the Material Plane or vice versa.</t>
  </si>
  <si>
    <t>Ochre Jelly
Large Ooze, Unaligned
AC 8		                     Initiative âˆ’2 (8)
HP 52 (7d10 + 14)
Speed 20 ft., Climb 20 ft.
MOD SAVE             MOD SAVE            MOD SAVE
Str 15 +2 +2         Dex 6 âˆ’2 âˆ’2          Con 14 +2 +2
Int 2 âˆ’4 âˆ’4          Wis 6 âˆ’2 âˆ’2          Cha 1 âˆ’5 âˆ’5
Resistances Acid
Immunities Lightning, Slashing; Charmed, Deafened,
Exhaustion, Frightened, Grappled, Prone, Restrained
Senses Blindsight 60 ft.; Passive Perception 8
Languages None
CR 2 (XP 450; PB +2)
Traits
Amorphous. The jelly can move through a space
as narrow as 1 inch without expending extra move-
ment to do so.
Spider Climb. The jelly can climb difficult surfaces,
including along ceilings, without needing to make an
ability check.
Actions
Pseudopod. Melee Attack Roll: +4, reach 5 ft. Hit: 12
(3d6 + 2) Acid damage.
Reactions
Split. Trigger: While the jelly is Large or Medium and
has 10+ Hit Points, it becomes Bloodied or is subjected
to Lightning or Slashing damage. Response: The jelly
splits into two new Ochre Jellies. Each new jelly is one
size smaller than the original jelly and acts on its Initia-
tive. The original jelly's Hit Points are divided evenly
between the new jellies (round down).</t>
  </si>
  <si>
    <t>Oni
Large Fiend, Lawful Evil
AC 17		                      Initiative +0 (10)
HP 119 (14d10 + 42)
Speed 30 ft., Fly 30 ft. (hover)
MOD SAVE              MOD SAVE           MOD SAVE
Str 19 +4 +4          Dex 11 +0 +3         Con 16 +3 +6
Int 14 +2 +2          Wis 12 +1 +4         Cha 15 +2 +5
Skills Arcana +5, Deception +8, Perception +4
Resistances Cold
Senses Darkvision 60 ft.; Passive Perception 14
Languages Common, Giant
CR 7 (XP 2,900; PB +3)
Traits
Regeneration. The oni regains 10 Hit Points at the start
of each of its turns if it has at least 1 Hit Point.
Actions
Multiattack. The oni makes two Claw or Nightmare
Ray attacks. It can replace one attack with a use of
Spellcasting.
Claw. Melee Attack Roll: +7, reach 10 ft. Hit: 10 (1d12
+ 4) Slashing damage plus 9 (2d8) Necrotic damage.
Nightmare Ray. Ranged Attack Roll: +5, range 60 ft.
Hit: 9 (2d6 + 2) Psychic damage, and the target has
the Frightened condition until the start of the oni's
next turn.
Shape-Shift. The oni shape-shifts into a Small or Me-
dium Humanoid or a Large Giant, or it returns to its
true form. Other than its size, its game statistics are the
same in each form. Any equipment it is wearing or car-
rying isn't transformed.
Spellcasting. The oni casts one of the following spells,
requiring no Material components and using Charisma
as the spellcasting ability (spell save DC 13):
1/Day Each: Charm Person (level 2 version), Darkness,
Gaseous Form, Sleep
Bonus Actions
Invisibility. The oni casts Invisibility on itself, requiring
no spell components and using the same spellcasting
ability as Spellcasting.</t>
  </si>
  <si>
    <t>Otyugh; telepathy 120 ft. (doesn't allow the receiving creature to respond telepathically)</t>
  </si>
  <si>
    <t>Otyugh
Large Aberration, Neutral
AC 14		                     Initiative +0 (10)
HP 104 (11d10 + 44)
Speed 30 ft.
MOD SAVE              MOD SAVE             MOD SAVE
Str 16 +3 +3          Dex 11 +0 +0         Con 19 +4 +7
Int 6 âˆ’2 âˆ’2           Wis 13 +1 +1         Cha 6 âˆ’2 âˆ’2
Senses Darkvision 120 ft.; Passive Perception 11
Languages Otyugh; telepathy 120 ft. (doesn't allow the
receiving creature to respond telepathically)
CR 5 (XP 1,800; PB +3)
Actions
Multiattack. The otyugh makes one Bite attack and two
Tentacle attacks.
Bite. Melee Attack Roll: +6, reach 5 ft. Hit: 12 (2d8 + 3)
Piercing damage, and the target has the Poisoned con-
dition. Whenever the Poisoned target finishes a Long
Rest, it is subjected to the following effect. Constitution
Saving Throw: DC 15. Failure: The target's Hit Point
maximum decreases by 5 (1d10) and doesn't return to
normal until the Poisoned condition ends on the target.
Success: The Poisoned condition ends.
Tentacle. Melee Attack Roll: +6, reach 10 ft. Hit: 12
(2d8 + 3) Piercing damage. If the target is a Medium or
smaller creature, it has the Grappled condition (escape
DC 13) from one of two tentacles.
Tentacle Slam. Constitution Saving Throw: DC 14, each
creature Grappled by the otyugh. Failure: 16 (3d8 + 3)
Bludgeoning damage, and the target has the Stunned
condition until the start of the otyugh's next turn. Suc-
cess: Half damage only.</t>
  </si>
  <si>
    <t>Understands Celestial, Common, Elvish, and Sylvan but can't speak</t>
  </si>
  <si>
    <t>Pegasus
Large Celestial, Chaotic Good
AC 12		                    Initiative +2 (12)
HP 59 (7d10 + 21)
Speed 60 ft., Fly 90 ft.
MOD SAVE              MOD SAVE          MOD SAVE
Str 18 +4 +4          Dex 15 +2 +4         Con 16 +3 +5
Int 10 +0 +0          Wis 15 +2 +4         Cha 13 +1 +3
Skills Perception +6
Senses Passive Perception 16
Languages Understands Celestial, Common, Elvish, and
Sylvan but can't speak
CR 2 (XP 450; PB +2)
Actions
Hooves. Melee Attack Roll: +6, reach 5 ft. Hit: 7 (1d6
+ 4) Bludgeoning damage plus 5 (2d4) Radiant damage.</t>
  </si>
  <si>
    <t>Pirate
Medium or Small Humanoid, Neutral
AC 14		         Initiative +5 (15)
HP 33 (6d8 + 6)
Speed 30 ft.
MOD SAVE            MOD SAVE            MOD SAVE
Str 10 +0 +0         Dex 16 +3 +5        Con 12 +1 +1
Int 8 âˆ’1 âˆ’1          Wis 12 +1 +1        Cha 14 +2 +4
Gear Daggers (6), Leather Armor
Senses Passive Perception 11
Languages Common plus one other language
CR 1 (XP 200; PB +2)
Actions
Multiattack. The pirate makes two Dagger attacks.
It can replace one attack with a use of Enthrall-
ing Panache.
Dagger. Melee or Ranged Attack Roll: +5, reach 5 ft. or
range 20/60 ft. Hit: 5 (1d4 + 3) Piercing damage.
Enthralling Panache. Wisdom Saving Throw: DC 12,
one creature the pirate can see within 30 feet. Failure:
The target has the Charmed condition until the start of
the pirate's next turn.</t>
  </si>
  <si>
    <t>Pirate Captain
Medium or Small Humanoid, Neutral
AC 17		           Initiative +7 (17)
HP 84 (13d8 + 26)
Speed 30 ft.
MOD SAVE             MOD SAVE            MOD SAVE
Str 10 +0 +3          Dex 18 +4 +7        Con 14 +2 +2
Int 10 +0 +0          Wis 14 +2 +5        Cha 17 +3 +6
Skills Acrobatics +7, Perception +5
Gear Pistol, Rapier
Senses Passive Perception 15
Languages Common plus one other language
CR 6 (XP 2,300; PB +3)
Actions
Multiattack. The pirate makes three attacks, using
Rapier or Pistol in any combination.
Rapier. Melee Attack Roll: +7, reach 5 ft. Hit: 13 (2d8
+ 4) Piercing damage, and the pirate has Advantage on
the next attack roll it makes before the end of this turn.
Pistol. Ranged Attack Roll: +7, range 30/90 ft. Hit: 15
(2d10 + 4) Piercing damage.
Bonus Actions
Captain's Charm. Wisdom Saving Throw: DC 14, one
creature the pirate can see within 30 feet. Failure: The
target has the Charmed condition until the start of the
pirate's next turn.
Reactions
Riposte. Trigger: The pirate is hit by a melee attack roll
while holding a weapon. Response: The pirate adds 3
to its AC against that attack, possibly causing it to miss.
On a miss, the pirate makes one Rapier attack against
the triggering creature if within range.</t>
  </si>
  <si>
    <t>Pit Fiend
Large Fiend (Devil), Lawful Evil
AC 21		                    Initiative +14 (24)
HP 337 (27d10 + 189)
Speed 30 ft., Fly 60 ft.
MOD SAVE
Str 26 +8 +8
MOD SAVE
Dex 14 +2 +8 Con 24 +7 +7
MOD SAVE
Int 22 +6 +6         Wis 18 +4 +10 Cha 24 +7 +7
Skills Perception +10, Persuasion +19
Resistances Cold
Immunities Fire, Poison; Poisoned
Senses Truesight 120 ft.; Passive Perception 20
Languages Infernal; telepathy 120 ft.
CR 20 (XP 25,000; PB +6)
Traits
Diabolical Restoration. If the pit fiend dies outside the
Nine Hells, its body disappears in sulfurous smoke, and
it gains a new body instantly, reviving with all its Hit
Points somewhere in the Nine Hells.
Fear Aura. The pit fiend emanates an aura in a 20-
foot Emanation while it doesn't have the Incapacitated
condition. Wisdom Saving Throw: DC 21, any enemy
that starts its turn in the aura. Failure: The target has
the Frightened condition until the start of its next turn.
Success: The target is immune to this pit fiend's aura
for 24 hours.
Legendary Resistance (4/Day). If the pit fiend fails a
saving throw, it can choose to succeed instead.
Magic Resistance. The pit fiend has Advantage on sav-
ing throws against spells and other magical effects.
Actions
Multiattack. The pit fiend makes one Bite attack, two
Devilish Claw attacks, and one Fiery Mace attack.
Bite. Melee Attack Roll: +14, reach 10 ft. Hit: 18 (3d6
+ 8) Piercing damage. If the target is a creature, it must
make the following saving throw. Constitution Saving
Throw: DC 21. Failure: The target has the Poisoned
condition. While Poisoned, the target can't regain Hit
Points and takes 21 (6d6) Poison damage at the start of
each of its turns, and it repeats the save at the end of
each of its turns, ending the effect on itself on a suc-
cess. After 1 minute, it succeeds automatically.
Devilish Claw. Melee Attack Roll: +14, reach 10 ft. Hit:
26 (4d8 + 8) Necrotic damage.
Fiery Mace. Melee Attack Roll: +14, reach 10 ft. Hit: 22
(4d6 + 8) Force damage plus 21 (6d6) Fire damage.
Hellfire Spellcasting (Recharge 4â€“6). The pit fiend
casts Fireball (level 5 version) twice, requiring no Mate-
rial components and using Charisma as the spellcasting
ability (spell save DC 21). It can replace one Fireball
with Hold Monster (level 7 version) or Wall of Fire.</t>
  </si>
  <si>
    <t>Understands Common and Draconic but can't speak</t>
  </si>
  <si>
    <t>Pseudodragon
Tiny Dragon, Neutral Good
AC 14 		                    Initiative +2 (12)
HP 10 (3d4 + 3)
Speed 15 ft., Fly 60 ft.
MOD SAVE             MOD SAVE          MOD SAVE
Str 6 âˆ’2 âˆ’2           Dex 15 +2 +2         Con 13 +1 +1
Int 10 +0 +0          Wis 12 +1 +1         Cha 10 +0 +0
Skills Perception +5, Stealth +4
Senses Blindsight 10 ft., Darkvision 60 ft.;
Passive Perception 15
Languages Understands Common and Draconic but can't
speak
CR 1/4 (XP 50; PB +2)
Traits
Magic Resistance. The pseudodragon has Advan-
tage on saving throws against spells and other magi-
cal effects.
Actions
Multiattack. The pseudodragon makes two Bite attacks.
Bite. Melee Attack Roll: +4, reach 5 ft. Hit: 4 (1d4 + 2)
Piercing damage.
Sting. Constitution Saving Throw: DC 12, one creature
the pseudodragon can see within 5 feet. Failure: 5 (2d4)
Poison damage, and the target has the Poisoned condi-
tion for 1 hour. Failure by 5 or More: While Poisoned,
the target also has the Unconscious condition, which
ends early if the target takes damage or a creature
within 5 feet of it takes an action to wake it.</t>
  </si>
  <si>
    <t>Purple Worm
Gargantuan Monstrosity, Unaligned
AC 18		                     Initiative +3 (13)
HP 247 (15d20 + 90)
Speed 50 ft., Burrow 50 ft.
MOD SAVE             MOD SAVE          MOD SAVE
Str 28 +9 +9         Dex 7 âˆ’2 âˆ’2          Con 22 +6 +11
Int 1 âˆ’5 âˆ’5          Wis 8 âˆ’1 +4          Cha 4 âˆ’3 âˆ’3
Senses Blindsight 30 ft., Tremorsense 60 ft.;
Passive Perception 9
Languages None
CR 15 (XP 13,000; PB +5)
Traits
Tunneler. The worm can burrow through solid rock at
half its Burrow Speed and leaves a 10-foot-diameter
tunnel in its wake.
Actions
Multiattack. The worm makes one Bite attack and one
Tail Stinger attack.
Bite. Melee Attack Roll: +14, reach 10 ft. Hit: 22
(3d8 + 9) Piercing damage. If the target is a Large or
smaller creature, it has the Grappled condition (escape
DC 19), and it has the Restrained condition until the
grapple ends.
Tail Stinger. Melee Attack Roll: +14, reach 10 ft. Hit:
16 (2d6 + 9) Piercing damage plus 35 (10d6) Poi-
son damage.
Bonus Actions
Swallow. Strength Saving Throw: DC 19, one Large or
smaller creature Grappled by the worm (it can have up
to three creatures swallowed at a time). Failure: The tar-
get is swallowed by the worm, and the Grappled con-
dition ends. A swallowed creature has the Blinded and
Restrained conditions, has Total Cover against attacks
and other effects outside the worm, and takes 17 (5d6)
Acid damage at the start of each of the worm's turns.
If the worm takes 30 damage or more on a single turn
from a creature inside it, the worm must succeed on a
DC 21 Constitution saving throw at the end of that turn
or regurgitate all swallowed creatures, each of which
falls in a space within 5 feet of the worm and has the
Prone condition. If the worm dies, any swallowed crea-
ture no longer has the Restrained condition and can
escape from the corpse using 20 feet of movement,
exiting Prone.</t>
  </si>
  <si>
    <t>Quasit
Tiny Fiend (Demon), Chaotic Evil
AC 13 		                   Initiative +3 (13)
HP 25 (10d4)
Speed 40 ft.
MOD SAVE              MOD SAVE              MOD SAVE
Str 5 âˆ’3 âˆ’3           Dex 17 +3 +3         Con 10 +0 +0
Int 7 âˆ’2 âˆ’2           Wis 10 +0 +0         Cha 10 +0 +0
Skills Stealth +5
Resistances Cold, Fire, Lightning
Immunities Poison; Poisoned
Senses Darkvision 120 ft.; Passive Perception 10
Languages Abyssal, Common
CR 1 (XP 200; PB +2)
Traits
Magic Resistance. The quasit has Advantage on saving
throws against spells and other magical effects.
Actions
Rend. Melee Attack Roll: +5, reach 5 ft. Hit: 5 (1d4 + 3)
Slashing damage, and the target has the Poisoned con-
dition until the start of the quasit's next turn.
Invisibility. The quasit casts Invisibility on itself, requir-
ing no spell components and using Charisma as the
spellcasting ability.
Scare (1/Day). Wisdom Saving Throw: DC 10, one
creature within 20 feet. Failure: The target has the
Frightened condition. At the end of each of its turns, the
target repeats the save, ending the effect on itself on a
success. After 1 minute, it succeeds automatically.
Shape-Shift. The quasit shape-shifts to resemble a bat
(Speed 10 ft., Fly 40 ft.), a centipede (40 ft., Climb 40
ft.), or a toad (40 ft., Swim 40 ft.), or it returns to its
true form. Its game statistics are the same in each form,
except for its Speed. Any equipment it is wearing or
carrying isn't transformed.</t>
  </si>
  <si>
    <t>Rakshasa
Medium Fiend, Lawful Evil
AC 17		                      Initiative +8 (18)
HP 221 (26d8 + 104)
Speed 40 ft.
MOD SAVE              MOD SAVE              MOD SAVE
Str 14 +2 +2          Dex 17 +3 +3         Con 18 +4 +4
Int 13 +1 +1          Wis 16 +3 +3         Cha 20 +5 +5
Skills Deception +10, Insight +8, Perception +8
Vulnerabilities Piercing damage from weapons wielded by
creatures under the effect of a Bless spell
Immunities Charmed, Frightened
Senses Truesight 60 ft.; Passive Perception 18
Languages Common, Infernal
CR 13 (XP 10,000; PB +5)
Traits
Greater Magic Resistance. The rakshasa automatically
succeeds on saving throws against spells and other
magical effects, and the attack rolls of spells automat-
ically miss it. Without the rakshasa's permission, no
spell can observe the rakshasa remotely or detect its
thoughts, creature type, or alignment.
Fiendish Restoration. If the rakshasa dies outside the
Nine Hells, its body turns to ichor, and it gains a new
body instantly, reviving with all its Hit Points some-
where in the Nine Hells.
Actions
Multiattack. The rakshasa makes three Cursed
Touch attacks.
Cursed Touch. Melee Attack Roll: +10, reach 5 ft. Hit:
12 (2d6 + 5) Slashing damage plus 19 (3d12) Necrotic
damage. If the target is a creature, it is cursed. While
cursed, the target gains no benefit from finishing a
Short or Long Rest.
Baleful Command (Recharge 5â€“6). Wisdom Saving
Throw: DC 18, each enemy in a 30-foot Emanation orig-
inating from the rakshasa. Failure: 28 (8d6) Psychic dam-
age, and the target has the Frightened and Incapacitated
conditions until the start of the rakshasa's next turn.
Spellcasting. The rakshasa casts one of the following
spells, requiring no Material components and using
Charisma as the spellcasting ability (spell save DC 18):
At Will: Detect Magic, Detect Thoughts, Disguise Self,
Mage Hand, Minor Illusion
1/Day Each: Fly, Invisibility, Major Image, Plane Shift</t>
  </si>
  <si>
    <t>Adult Red Dragon
Huge Dragon (Chromatic), Chaotic Evil
AC 19                Initiative +12 (22)
HP 256 (19d12 + 133)
Speed 40 ft., Climb 40 ft., Fly 80 ft.
MOD SAVE             MOD SAVE          MOD SAVE
Str 27 +8 +8         Dex 10 +0 +6          Con 25 +7 +7
Int 16 +3 +3         Wis 13 +1 +7          Cha 23 +6 +6
Skills Perception +13, Stealth +6
Immunities Fire
Senses Blindsight 60 ft., Darkvision 120 ft.;
Passive Perception 23
Languages Common, Draconic
CR 17 (XP 18,000, or 20,000 in lair; PB +6)
Traits
Legendary Resistance (3/Day, or 4/Day in Lair). If
the dragon fails a saving throw, it can choose to suc-
ceed instead.
Actions
Multiattack. The dragon makes three Rend attacks. It
can replace one attack with a use of Spellcasting to cast
Scorching Ray.
Rend. Melee Attack Roll: +14, reach 10 ft. Hit: 13 (1d10
+ 8) Slashing damage plus 5 (2d4) Fire damage.
Fire Breath (Recharge 5â€“6). Dexterity Saving Throw:
DC 21, each creature in a 60-foot Cone. Failure: 59
(17d6) Fire damage. Success: Half damage.
Spellcasting. The dragon casts one of the following
spells, requiring no Material components and using
Charisma as the spellcasting ability (spell save DC 20,
+12 to hit with spell attacks):
At Will: Command (level 2 version), Detect Magic,
Scorching Ray
1/Day: Fireball
Legendary Actions
Legendary Action Uses: 3 (4 in Lair). Immediately after
another creature's turn, the dragon can expend a use to
take one of the following actions. The dragon regains all
expended uses at the start of each of its turns.
Commanding Presence. The dragon uses Spellcasting
to cast Command (level 2 version). The dragon can't
take this action again until the start of its next turn.
Fiery Rays. The dragon uses Spellcasting to cast Scorch-
ing Ray. The dragon can't take this action again until the
start of its next turn.
Pounce. The dragon moves up to half its Speed, and it
makes one Rend attack.</t>
  </si>
  <si>
    <t>Ancient Red Dragon
Gargantuan Dragon (Chromatic), Chaotic Evil
AC 22                Initiative +14 (24)
HP 507 (26d20 + 234)
Speed 40 ft., Climb 40 ft., Fly 80 ft.
MOD SAVE             MOD SAVE            MOD SAVE
Str 30 +10 +10 Dex 10 +0 +7                Con 29 +9 +9
Int 18 +4 +4 Wis 15 +2 +9                  Cha 27 +8 +8
Skills Perception +16, Stealth +7
Immunities Fire
Senses Blindsight 60 ft., Darkvision 120 ft.;
Passive Perception 26
Languages Common, Draconic
CR 24 (XP 62,000, or 75,000 in lair; PB +7)
Traits
Legendary Resistance (4/Day, or 5/Day in Lair). If
the dragon fails a saving throw, it can choose to suc-
ceed instead.
Actions
Multiattack. The dragon makes three Rend attacks. It
can replace one attack with a use of Spellcasting to cast
Scorching Ray (level 3 version).
Rend. Melee Attack Roll: +17, reach 15 ft. Hit: 19 (2d8
+ 10) Slashing damage plus 10 (3d6) Fire damage.
Fire Breath (Recharge 5â€“6). Dexterity Saving Throw:
DC 24, each creature in a 90-foot Cone. Failure: 91
(26d6) Fire damage. Success: Half damage.
Spellcasting. The dragon casts one of the following
spells, requiring no Material components and using
Charisma as the spellcasting ability (spell save DC 23,
+15 to hit with spell attacks):
At Will: Command (level 2 version), Detect Magic,
Scorching Ray (level 3 version)
1/Day Each: Fireball (level 6 version), Scrying
Legendary Actions
Legendary Action Uses: 3 (4 in Lair). Immediately after
another creature's turn, the dragon can expend a use to
take one of the following actions. The dragon regains all
expended uses at the start of each of its turns.
Commanding Presence. The dragon uses Spellcasting
to cast Command (level 2 version). The dragon can't
take this action again until the start of its next turn.
Fiery Rays. The dragon uses Spellcasting to cast Scorch-
ing Ray (level 3 version). The dragon can't take this ac-
tion again until the start of its next turn.
Pounce. The dragon moves up to half its Speed, and it
makes one Rend attack.</t>
  </si>
  <si>
    <t>Remorhaz
Huge Monstrosity, Unaligned
AC 17		                     Initiative +5 (15)
HP 195 (17d12 + 85)
Speed 40 ft., Burrow 30 ft.
MOD SAVE             MOD SAVE            MOD SAVE
Str 24 +7 +7         Dex 13 +1 +1          Con 21 +5 +5
Int 4 âˆ’3 âˆ’3          Wis 10 +0 +0          Cha 5 âˆ’3 âˆ’3
Immunities Cold, Fire
Senses Darkvision 60 ft., Tremorsense 60 ft.;
Passive Perception 10
Languages None
CR 11 (XP 7,200; PB +4)
Traits
Heat Aura. At the end of each of the remorhaz's turns,
each creature in a 5-foot Emanation originating from
the remorhaz takes 16 (3d10) Fire damage.
Actions
Bite. Melee Attack Roll: +11, reach 10 ft. Hit: 18 (2d10
+ 7) Piercing damage plus 14 (4d6) Fire damage. If the
target is a Large or smaller creature, it has the Grappled
condition (escape DC 17), and it has the Restrained
condition until the grapple ends.
Bonus Actions
Swallow. Strength Saving Throw: DC 19, one Large or
smaller creature Grappled by the remorhaz (it can have
up to two creatures swallowed at a time). Failure: The
target is swallowed by the remorhaz, and the Grappled
condition ends. A swallowed creature has the Blinded
and Restrained conditions, it has Total Cover against
attacks and other effects outside the remorhaz, and it
takes 10 (3d6) Acid damage plus 10 (3d6) Fire damage
at the start of each of the remorhaz's turns.
If the remorhaz takes 30 damage or more on a single
turn from a creature inside it, the remorhaz must suc-
ceed on a DC 15 Constitution saving throw at the end
of that turn or regurgitate all swallowed creatures, each
of which falls in a space within 5 feet of the remorhaz
and has the Prone condition. If the remorhaz dies, any
swallowed creature no longer has the Restrained condi-
tion and can escape from the corpse by using 15 feet of
movement, exiting Prone.</t>
  </si>
  <si>
    <t>Roper
Large Aberration, Neutral Evil
AC 20 		                   Initiative +5 (15)
HP 93 (11d10 + 33)
Speed 10 ft., Climb 20 ft.
MOD SAVE            MOD SAVE            MOD SAVE
Str 18 +4 +4         Dex 8 âˆ’1 âˆ’1         Con 17 +3 +3
Int 7 âˆ’2 âˆ’2          Wis 16 +3 +3        Cha 6 âˆ’2 âˆ’2
Skills Perception +6, Stealth +5
Senses Darkvision 60 ft.; Passive Perception 16
Languages None
CR 5 (XP 1,800; PB +3)
Traits
Spider Climb. The roper can climb difficult surfaces,
including along ceilings, without needing to make an
ability check.
Actions
Multiattack. The roper makes two Tentacle attacks,
uses Reel, and makes two Bite attacks.
Bite. Melee Attack Roll: +7, reach 5 ft. Hit: 17 (3d8 + 4)
Piercing damage.
Tentacle. Melee Attack Roll: +7, reach 60 ft. Hit: The
target has the Grappled condition (escape DC 14) from
one of six tentacles, and the target has the Poisoned
condition until the grapple ends.
The tentacle can be damaged, freeing a creature it has
Grappled when destroyed (AC 20, HP 10, Immunity to
Poison and Psychic damage). Damaging the tentacle
deals no damage to the roper, and a destroyed tentacle
regrows at the start of the roper's next turn.
Reel. The roper pulls each creature Grappled by it up
to 30 feet straight toward it.</t>
  </si>
  <si>
    <t>Rust Monster
Medium Monstrosity, Unaligned
AC 14 		                  Initiative +1 (11)
HP 33 (6d8 + 6)
Speed 40 ft.
MOD SAVE            MOD SAVE            MOD SAVE
Str 13 +1 +1         Dex 12 +1 +1        Con 13 +1 +1
Int 2 âˆ’4 âˆ’4          Wis 13 +1 +1        Cha 6 âˆ’2 âˆ’2
Senses Darkvision 60 ft.; Passive Perception 11
Languages None
CR 1/2 (XP 100; PB +2)
Traits
Iron Scent. The rust monster can pinpoint the location
of ferrous metal within 30 feet of itself.
Actions
Multiattack. The rust monster makes one Bite attack
and uses Antennae twice.
Bite. Melee Attack Roll: +3, reach 5 ft. Hit: 5 (1d8 + 1)
Piercing damage.
Antennae. The rust monster targets one nonmagical
metal objectâ€”armor or a weaponâ€”worn or carried
by a creature within 5 feet of itself. Dexterity Saving
Throw: DC 11, the creature with the object. Failure:
The object takes a âˆ’1 penalty to the AC it offers (ar-
mor) or to its attack rolls (weapon). Armor is destroyed
if the penalty reduces its AC to 10, and a weapon is
destroyed if its penalty reaches âˆ’5. The penalty can be
removed by casting the Mending spell on the armor
or weapon.
Destroy Metal. The rust monster touches a nonmagi-
cal metal object within 5 feet of itself that isn't being
worn or carried. The touch destroys a 1-foot Cube of
the object.
Reactions
Reflexive Antennae. Trigger: An attack roll hits the rust
monster. Response: The rust monster uses Antennae.</t>
  </si>
  <si>
    <t>Sahuagin Warrior
Medium Fiend, Lawful Evil
AC 12		                   Initiative +0 (10)
HP 22 (4d8 + 4)
Speed 30 ft., Swim 40 ft.
MOD SAVE            MOD SAVE             MOD SAVE
Str 13 +1 +1         Dex 11 +0 +0        Con 12 +1 +1
Int 12 +1 +1         Wis 13 +1 +1        Cha 9 âˆ’1 âˆ’1
Skills Perception +5
Resistances Acid, Cold
Senses Darkvision 120 ft.; Passive Perception 15
Languages Sahuagin
CR 1/2 (XP 100; PB +2)
Traits
Blood Frenzy. The sahuagin has Advantage on at-
tack rolls against any creature that doesn't have all its
Hit Points.
Limited Amphibiousness. The sahuagin can breathe air
and water, but it must be submerged at least once every
4 hours to avoid suffocating outside water.
Shark Telepathy. The sahuagin can magically control
sharks within 120 feet of itself, using a special telepathy.
Actions
Multiattack. The sahuagin makes two Claw attacks.
Claw. Melee Attack Roll: +3, reach 5 ft. Hit: 4 (1d6 + 1)
Slashing damage.
Bonus Actions
Aquatic Charge. The sahuagin swims up to its Swim
Speed straight toward an enemy it can see.</t>
  </si>
  <si>
    <t>Salamander
Large Elemental, Neutral Evil
AC 15 		                   Initiative +2 (12)
HP 90 (12d10 + 24)
Speed 30 ft., Climb 30 ft.
MOD SAVE              MOD SAVE           MOD SAVE
Str 18 +4 +4         Dex 14 +2 +2          Con 15 +2 +2
Int 11 +0 +0         Wis 10 +0 +0          Cha 12 +1 +1
Vulnerabilities Cold
Immunities Fire
Senses Darkvision 60 ft.; Passive Perception 10
Languages Primordial (Ignan)
CR 5 (XP 1,800; PB +3)
Traits
Fire Aura. At the end of each of the salamander's turns,
each creature of the salamander's choice in a 5-foot
Emanation originating from the salamander takes 7
(2d6) Fire damage.
Actions
Multiattack. The salamander makes two Flame
Spear attacks. It can replace one attack with a use of
Constrict.
Flame Spear. Melee or Ranged Attack Roll: +7, reach 5
ft. or range 20/60 ft. Hit: 13 (2d8 + 4) Piercing damage
plus 7 (2d6) Fire damage. Hit or Miss: The spear magi-
cally returns to the salamander's hand immediately after
a ranged attack.
Constrict. Strength Saving Throw: DC 15, one Large or
smaller creature the salamander can see within 10 feet.
Failure: 11 (2d6 + 4) Bludgeoning damage plus 7 (2d6)
Fire damage. The target has the Grappled condition (es-
cape DC 14), and it has the Restrained condition until
the grapple ends.</t>
  </si>
  <si>
    <t>Sea Hag
Medium Fey, Chaotic Evil
AC 14 		                  Initiative +1 (11)
HP 52 (7d8 + 21)
Speed 30 ft., Swim 40 ft.
MOD SAVE            MOD SAVE            MOD SAVE
Str 16 +3 +3         Dex 13 +1 +1         Con 16 +3 +3
Int 12 +1 +1         Wis 12 +1 +1         Cha 13 +1 +1
Senses Darkvision 60 ft.; Passive Perception 11
Languages Common, Giant, Primordial (Aquan)
CR 2 (XP 450; PB +2)
Traits
Amphibious. The hag can breathe air and water.
Coven Magic. While within 30 feet of at least two hag
allies, the hag can cast one of the following spells,
requiring no Material components, using the spell's
normal casting time, and using Intelligence as the spell-
casting ability (spell save DC 11): Augury, Find Familiar,
Identify, Locate Object, Scrying, or Unseen Servant.
The hag must finish a Long Rest before using this trait to
cast that spell again.
Vile Appearance. Wisdom Saving Throw: DC 11, any
Beast or Humanoid that starts its turn within 30 feet of
the hag and can see the hag's true form. Failure: The
target has the Frightened condition until the start of its
next turn. Success: The target is immune to this hag's
Vile Appearance for 24 hours.
Actions
Claw. Melee Attack Roll: +5, reach 5 ft. Hit: 10 (2d6
+ 3) Slashing damage.
Death Glare (Recharge 5â€“6). Wisdom Saving Throw:
DC 11, one Frightened creature the hag can see within
30 feet. Failure: If the target has 20 Hit Points or fewer,
it drops to 0 Hit Points. Otherwise, the target takes 13
(3d8) Psychic damage.
Illusory Appearance. The hag casts Disguise Self, using
Constitution as the spellcasting ability (spell save DC
13). The spell's duration is 24 hours.</t>
  </si>
  <si>
    <t>Shadow
Medium Undead, Chaotic Evil
AC 12		         Initiative +2 (12)
HP 27 (5d8 + 5)
Speed 40 ft.
MOD SAVE            MOD SAVE             MOD SAVE
Str 6 âˆ’2 âˆ’2          Dex 14 +2 +2        Con 13 +1 +1
Int 6 âˆ’2 âˆ’2          Wis 10 +0 +0        Cha 8 âˆ’1 âˆ’1
Skills Stealth +6
Vulnerabilities Radiant
Resistances Acid, Cold, Fire, Lightning, Thunder
Immunities Necrotic, Poison; Exhaustion, Frightened,
Grappled, Paralyzed, Petrified, Poisoned, Prone,
Restrained, Unconscious
Senses Darkvision 60 ft.; Passive Perception 10
Languages None
CR 1/2 (XP 100; PB +2)
Traits
Amorphous. The shadow can move through a space
as narrow as 1 inch without expending extra move-
ment to do so.
Sunlight Weakness. While in sunlight, the shadow has
Disadvantage on D20 Tests.
Actions
Draining Swipe. Melee Attack Roll: +4, reach 5 ft. Hit:
5 (1d6 + 2) Necrotic damage, and the target's Strength
score decreases by 1d4. The target dies if this reduces
that score to 0. If a Humanoid is slain by this attack, a
Shadow rises from the corpse 1d4 hours later.
Bonus Actions
Shadow Stealth. While in Dim Light or Darkness, the
shadow takes the Hide action.</t>
  </si>
  <si>
    <t>Shambling Mound
Large Plant, Unaligned
AC 15 		                  Initiative âˆ’1 (9)
HP 110 (13d10 + 39)
Speed 30 ft., Swim 20 ft.
MOD SAVE            MOD SAVE            MOD SAVE
Str 18 +4 +4         Dex 8 âˆ’1 âˆ’1         Con 16 +3 +3
Int 5 âˆ’3 âˆ’3          Wis 10 +0 +0        Cha 5 âˆ’3 âˆ’3
Skills Stealth +3
Resistances Cold, Fire
Immunities Lightning; Deafened, Exhaustion
Senses Blindsight 60 ft.; Passive Perception 10
Languages None
CR 5 (XP 1,800; PB +3)
Traits
Lightning Absorption. Whenever the shambling mound
is subjected to Lightning damage, it regains a number of
Hit Points equal to the Lightning damage dealt.
Actions
Multiattack. The shambling mound makes three
Charged Tendril attacks. It can replace one attack with
a use of Engulf.
Charged Tendril. Melee Attack Roll: +7, reach 10 ft.
Hit: 7 (1d6 + 4) Bludgeoning damage plus 5 (2d4)
Lightning damage. If the target is a Medium or smaller
creature, the shambling mound pulls the target 5 feet
straight toward itself.
Engulf. Strength Saving Throw: DC 15, one Medium
or smaller creature within 5 feet. Failure: The target is
pulled into the shambling mound's space and has the
Grappled condition (escape DC 14). Until the grapple
ends, the target has the Blinded and Restrained con-
ditions, and it takes 10 (3d6) Lightning damage at the
start of each of its turns. When the shambling mound
moves, the Grappled target moves with it, costing it no
extra movement. The shambling mound can have only
one creature Grappled by this action at a time.</t>
  </si>
  <si>
    <t>Understands commands given in any language but can't speak</t>
  </si>
  <si>
    <t>Shield Guardian
Large Construct, Unaligned
AC 17 		                   Initiative âˆ’1 (9)
HP 142 (15d10 + 60)
Speed 30 ft.
MOD SAVE            MOD SAVE            MOD SAVE
Str 18 +4 +4         Dex 8 âˆ’1 âˆ’1          Con 18 +4 +4
Int 7 âˆ’2 âˆ’2          Wis 10 +0 +0         Cha 3 âˆ’4 âˆ’4
Immunities Poison; Charmed, Exhaustion, Frightened,
Paralyzed, Petrified, Poisoned
Senses Blindsight 10 ft., Darkvision 60 ft.;
Passive Perception 10
Languages Understands commands given in any language
but can't speak
CR 7 (XP 2,900; PB +3)
Traits
Bound. The guardian is magically bound to an amulet.
While the guardian and its amulet are on the same
plane of existence, the amulet's wearer can telepathi-
cally call the guardian to travel to it, and the guardian
knows the distance and direction to the amulet. If the
guardian is within 60 feet of the amulet's wearer, half of
any damage the wearer takes (round up) is transferred
to the guardian.
Regeneration. The guardian regains 10 Hit Points at the
start of each of its turns if it has at least 1 Hit Point.
Spell Storing. A spellcaster who wears the guardian's
amulet can cause the guardian to store one spell of
level 4 or lower. To do so, the wearer must cast the
spell on the guardian while within 5 feet of it. The
spell has no effect but is stored within the guardian.
Any previously stored spell is lost when a new spell is
stored. The guardian can cast the spell stored with any
parameters set by the original caster, requiring no spell
components and using the caster's spellcasting ability.
The stored spell is then lost.
Actions
Multiattack. The guardian makes two Fist attacks.
Fist. Melee Attack Roll: +7, reach 10 ft. Hit: 11 (2d6
+ 4) Bludgeoning damage plus 7 (2d6) Force damage.
Reactions
Protection. Trigger: An attack roll hits the wearer of the
guardian's amulet while the wearer is within 5 feet of
the guardian. Response: The wearer gains a +5 bonus
to AC, including against the triggering attack and pos-
sibly causing it to miss, until the start of the guardian's
next turn.</t>
  </si>
  <si>
    <t>Adult Silver Dragon
Huge Dragon (Metallic), Lawful Good
AC 19		                  Initiative +10 (20)
HP 216 (16d12 + 112)
Speed 40 ft., Fly 80 ft.
MOD SAVE            MOD SAVE             MOD SAVE
Str 27 +8 +8         Dex 10 +0 +5        Con 25 +7 +7
Int 16 +3 +3         Wis 13 +1 +6        Cha 22 +6 +6
Skills History +8, Perception +11, Stealth +5
Immunities Cold
Senses Blindsight 60 ft., Darkvision 120 ft.;
Passive Perception 21
Languages Common, Draconic
CR 16 (XP 15,000, or 18,000 in lair; PB +5)
Traits
Legendary Resistance (3/Day, or 4/Day in Lair). If
the dragon fails a saving throw, it can choose to suc-
ceed instead.
Actions
Multiattack. The dragon makes three Rend attacks.
It can replace one attack with a use of (A) Paralyzing
Breath or (B) Spellcasting to cast Ice Knife.
Rend. Melee Attack Roll: +13, reach 10 ft. Hit: 17 (2d8
+ 8) Slashing damage plus 4 (1d8) Cold damage.
Cold Breath (Recharge 5â€“6). Constitution Saving
Throw: DC 20, each creature in a 60-foot Cone. Fail-
ure: 54 (12d8) Cold damage. Success: Half damage.
Paralyzing Breath. Constitution Saving Throw: DC 20,
each creature in a 60-foot Cone. First Failure: The target
has the Incapacitated condition until the end of its next
turn, when it repeats the save. Second Failure: The tar-
get has the Paralyzed condition, and it repeats the save
at the end of each of its turns, ending the effect on itself
on a success. After 1 minute, it succeeds automatically.
Spellcasting. The dragon casts one of the following
spells, requiring no Material components and using
Charisma as the spellcasting ability (spell save DC 19,
+11 to hit with spell attacks):
At Will: Detect Magic, Hold Monster, Ice Knife,
Shapechange (Beast or Humanoid form only, no
Temporary Hit Points gained from the spell, and no
Concentration or Temporary Hit Points required to
maintain the spell)
1/Day Each: Ice Storm (level 5 version), Zone of Truth
Legendary Actions
Legendary Action Uses: 3 (4 in Lair). Immediately after
another creature's turn, the dragon can expend a use to
take one of the following actions. The dragon regains all
expended uses at the start of each of its turns.
Chill. The dragon uses Spellcasting to cast Hold Mon-
ster. The dragon can't take this action again until the
start of its next turn.
Cold Gale. Dexterity Saving Throw: DC 19, each crea-
ture in a 60-foot-long, 10-foot-wide Line. Failure: 14
(4d6) Cold damage, and the target is pushed up to 30
feet straight away from the dragon. Success: Half dam-
age only. Failure or Success: The dragon can't take this
action again until the start of its next turn.
Pounce. The dragon moves up to half its Speed, and it
makes one Rend attack.</t>
  </si>
  <si>
    <t>Ancient Silver Dragon
Gargantuan Dragon (Metallic), Lawful Good
AC 22                 Initiative +14 (24)
HP 468 (24d20 + 216)
Speed 40 ft., Fly 80 ft.
MOD SAVE             MOD SAVE            MOD SAVE
Str 30 +10 +10 Dex 10 +0 +7                 Con 29 +9 +9
Int 18 +4 +4 Wis 15 +2 +9                   Cha 26 +8 +8
Skills History +11, Perception +16, Stealth +7
Immunities Cold
Senses Blindsight 60 ft., Darkvision 120 ft.;
Passive Perception 26
Languages Common, Draconic
CR 23 (XP 50,000, or 62,000 in lair; PB +7)
Traits
Legendary Resistance (4/Day, or 5/Day in Lair). If
the dragon fails a saving throw, it can choose to suc-
ceed instead.
Actions
Multiattack. The dragon makes three Rend attacks.
It can replace one attack with a use of (A) Paralyz-
ing Breath or (B) Spellcasting to cast Ice Knife (level
2 version).
Rend. Melee Attack Roll: +17, reach 15 ft. Hit: 19 (2d8
+ 10) Slashing damage plus 9 (2d8) Cold damage.
Cold Breath (Recharge 5â€“6). Constitution Saving
Throw: DC 24, each creature in a 90-foot Cone. Fail-
ure: 67 (15d8) Cold damage. Success: Half damage.
Paralyzing Breath. Constitution Saving Throw: DC 24,
each creature in a 90-foot Cone. First Failure: The target
has the Incapacitated condition until the end of its next
turn, when it repeats the save. Second Failure: The tar-
get has the Paralyzed condition, and it repeats the save
at the end of each of its turns, ending the effect on itself
on a success. After 1 minute, it succeeds automatically.
Spellcasting. The dragon casts one of the following
spells, requiring no Material components and using
Charisma as the spellcasting ability (spell save DC 23,
+15 to hit with spell attacks):
At Will: Detect Magic, Hold Monster, Ice Knife (level 2
version), Shapechange (Beast or Humanoid form only,
no Temporary Hit Points gained from the spell, and
no Concentration or Temporary Hit Points required to
maintain the spell)
1/Day Each: Control Weather, Ice Storm (level 7 ver-
sion), Teleport, Zone of Truth
Legendary Actions
Legendary Action Uses: 3 (4 in Lair). Immediately after
another creature's turn, the dragon can expend a use to
take one of the following actions. The dragon regains all
expended uses at the start of each of its turns.
Chill. The dragon uses Spellcasting to cast Hold Mon-
ster. The dragon can't take this action again until the
start of its next turn.
Cold Gale. Dexterity Saving Throw: DC 23, each crea-
ture in a 60-foot-long, 10-foot-wide Line. Failure: 14
(4d6) Cold damage, and the target is pushed up to 30
feet straight away from the dragon. Success: Half dam-
age only. Failure or Success: The dragon can't take this
action again until the start of its next turn.
Pounce. The dragon moves up to half its Speed, and it
makes one Rend attack.</t>
  </si>
  <si>
    <t>Skeleton
Medium Undead, Lawful Evil
AC 14 		                   Initiative +3 (13)
HP 13 (2d8 + 4)
Speed 30 ft.
MOD SAVE            MOD SAVE             MOD SAVE
Str 10 +0 +0         Dex 16 +3 +3         Con 15 +2 +2
Int 6 âˆ’2 âˆ’2          Wis 8 âˆ’1 âˆ’1          Cha 5 âˆ’3 âˆ’3
Vulnerabilities Bludgeoning
Immunities Poison; Exhaustion, Poisoned
Gear Shortbow, Shortsword
Senses Darkvision 60 ft.; Passive Perception 9
Languages Understands Common plus one other language
but can't speak
CR 1/4 (XP 50; PB +2)
Actions
Shortsword. Melee Attack Roll: +5, reach 5 ft. Hit: 6
(1d6 + 3) Piercing damage.
Shortbow. Ranged Attack Roll: +5, range 80/320 ft. Hit:
6 (1d6 + 3) Piercing damage.</t>
  </si>
  <si>
    <t>Understands Abyssal but can't speak</t>
  </si>
  <si>
    <t>Minotaur Skeleton
Large Undead, Lawful Evil
AC 12		                     Initiative +0 (10)
HP 45 (6d10 + 12)
Speed 40 ft.
MOD SAVE             MOD SAVE          MOD SAVE
Str 18 +4 +4         Dex 11 +0 +0          Con 15 +2 +2
Int 6 âˆ’2 âˆ’2          Wis 8 âˆ’1 âˆ’1           Cha 5 âˆ’3 âˆ’3
Vulnerabilities Bludgeoning
Immunities Poison; Exhaustion, Poisoned
Senses Darkvision 60 ft.; Passive Perception 9
Languages Understands Abyssal but can't speak
CR 2 (XP 450; PB +2)
Actions
Gore. Melee Attack Roll: +6, reach 5 ft. Hit: 11 (2d6
+ 4) Piercing damage. If the target is a Large or smaller
creature and the skeleton moved 20+ feet straight
toward it immediately before the hit, the target takes
an extra 9 (2d8) Piercing damage and has the Prone
condition.
Slam. Melee Attack Roll: +6, reach 5 ft. Hit: 15 (2d10
+ 4) Bludgeoning damage.</t>
  </si>
  <si>
    <t>Solar
Large Celestial (Angel), Lawful Good
AC 21		                      Initiative +20 (30)
HP 297 (22d10 + 176)
Speed 50 ft., Fly 150 ft. (hover)
MOD SAVE              MOD SAVE           MOD SAVE
Str 26 +8 +8          Dex 22 +6 +6         Con 26 +8 +8
Int 25 +7 +7          Wis 25 +7 +7         Cha 30 +10 +10
Skills Perception +14
Immunities Poison, Radiant; Charmed, Exhaustion,
Frightened, Poisoned
Senses Truesight 120 ft.; Passive Perception 24
Languages All; telepathy 120 ft.
CR 21 (XP 33,000; PB +7)
Traits
Divine Awareness. The solar knows if it hears a lie.
Exalted Restoration. If the solar dies outside Mount
Celestia, its body disappears, and it gains a new body
instantly, reviving with all its Hit Points somewhere in
Mount Celestia.
Legendary Resistance (4/Day). If the solar fails a saving
throw, it can choose to succeed instead.
Magic Resistance. The solar has Advantage on saving
throws against spells and other magical effects.
Actions
Multiattack. The solar makes two Flying Sword attacks.
It can replace one attack with a use of Slaying Bow.
Flying Sword. Melee or Ranged Attack Roll: +15, reach
10 ft. or range 120 ft. Hit: 22 (4d6 + 8) Slashing damage
plus 36 (8d8) Radiant damage. Hit or Miss: The sword
magically returns to the solar's hand or hovers within 5
feet of the solar immediately after a ranged attack.
Slaying Bow. Dexterity Saving Throw: DC 21, one crea-
ture the solar can see within 600 feet. Failure: If the
creature has 100 Hit Points or fewer, it dies. It other-
wise takes 24 (4d8 + 6) Piercing damage plus 36 (8d8)
Radiant damage.
Spellcasting. The solar casts one of the following spells,
requiring no Material components and using Charisma
as the spellcasting ability (spell save DC 25):
At Will: Detect Evil and Good
1/Day Each: Commune, Control Weather, Dispel Evil
and Good, Resurrection
Bonus Actions
Divine Aid (3/Day). The solar casts Cure Wounds (level
2 version), Lesser Restoration, or Remove Curse, using
the same spellcasting ability as Spellcasting.
Legendary Actions
Legendary Action Uses: 3. Immediately after another
creature's turn, the solar can expend a use to take one of
the following actions. The solar regains all expended uses
at the start of each of its turns.
Blinding Gaze. Constitution Saving Throw: DC 25, one
creature the solar can see within 120 feet. Failure: The
target has the Blinded condition for 1 minute. Failure or
Success: The solar can't take this action again until the
start of its next turn.
Radiant Teleport. The solar teleports up to 60 feet to an
unoccupied space it can see. Dexterity Saving Throw:
DC 25, each creature in a 10-foot Emanation originat-
ing from the solar at its destination space. Failure: 11
(2d10) Radiant damage. Success: Half damage.</t>
  </si>
  <si>
    <t>Specter
Medium Undead, Chaotic Evil
AC 12		                      Initiative +2 (12)
HP 22 (5d8)
Speed 30 ft., Fly 50 ft. (hover)
MOD SAVE              MOD SAVE          MOD SAVE
Str 1 âˆ’5 âˆ’5           Dex 14 +2 +2          Con 11 +0 +0
Int 10 +0 +0          Wis 10 +0 +0          Cha 11 +0 +0
Resistances Acid, Bludgeoning, Cold, Fire, Lightning,
Piercing, Slashing, Thunder
Immunities Necrotic, Poison; Charmed, Exhaustion,
Grappled, Paralyzed, Petrified, Poisoned, Prone,
Restrained, Unconscious
Senses Darkvision 60 ft.; Passive Perception 10
Languages Understands Common plus one other language
but can't speak
CR 1 (XP 200; PB +2)
Traits
Incorporeal Movement. The specter can move through
other creatures and objects as if they were Difficult
Terrain. It takes 5 (1d10) Force damage if it ends its turn
inside an object.
Sunlight Sensitivity. While in sunlight, the specter has
Disadvantage on ability checks and attack rolls.
Actions
Life Drain. Melee Attack Roll: +4, reach 5 ft. Hit: 7
(2d6) Necrotic damage. If the target is a creature, its Hit
Point maximum decreases by an amount equal to the
damage taken.</t>
  </si>
  <si>
    <t>Sphinx of Lore
Large Celestial, Lawful Neutral
AC 17		                    Initiative +10 (20)
HP 170 (20d10 + 60)
Speed 40 ft., Fly 60 ft.
MOD SAVE            MOD SAVE            MOD SAVE
Str 18 +4 +4          Dex 15 +2 +2        Con 16 +3 +3
Int 18 +4 +4          Wis 18 +4 +4        Cha 18 +4 +4
Skills Arcana +12, History +12, Perception +8,
Religion +12
Resistances Necrotic, Radiant
Immunities Psychic; Charmed, Frightened
Senses Truesight 120 ft.; Passive Perception 18
Languages Celestial, Common
CR 11 (XP 7,200, or 8,400 in lair; PB +4)
Traits
Inscrutable. No magic can observe the sphinx remotely
or detect its thoughts without its permission. Wisdom
(Insight) checks made to ascertain its intentions or sin-
cerity are made with Disadvantage.
Legendary Resistance (3/Day, or 4/Day in Lair). If
the sphinx fails a saving throw, it can choose to suc-
ceed instead.
Actions
Multiattack. The sphinx makes three Claw attacks.
Claw. Melee Attack Roll: +8, reach 5 ft. Hit: 14 (3d6
+ 4) Slashing damage.
Mind-Rending Roar (Recharge 5â€“6). Wisdom Saving
Throw: DC 16, each enemy in a 300-foot Emanation
originating from the sphinx. Failure: 35 (10d6) Psychic
damage, and the target has the Incapacitated condition
until the start of the sphinx's next turn.
Spellcasting. The sphinx casts one of the following
spells, requiring no Material components and using In-
telligence as the spellcasting ability (spell save DC 16):
At Will: Detect Magic, Identify, Mage Hand, Minor Illu-
sion, Prestidigitation
1/Day Each: Dispel Magic, Legend Lore, Locate Object,
Plane Shift, Remove Curse, Tongues
Legendary Actions
Legendary Action Uses: 3 (4 in Lair). Immediately after
another creature's turn, the sphinx can expend a use to
take one of the following actions. The sphinx regains all
expended uses at the start of each of its turns.
Arcane Prowl. The sphinx can teleport up to 30 feet
to an unoccupied space it can see, and it makes one
Claw attack.
Weight of Years. Constitution Saving Throw: DC 16,
one creature the sphinx can see within 120 feet. Failure:
The target gains 1 Exhaustion level. While the target has
any Exhaustion levels, it appears 3d10 years older. Fail-
ure or Success: The sphinx can't take this action again
until the start of its next turn.</t>
  </si>
  <si>
    <t>Sphinx of Valor
Large Celestial, Lawful Neutral
AC 17		                    Initiative +12 (22)
HP 199 (19d10 + 95)
Speed 40 ft., Fly 60 ft.
MOD SAVE             MOD SAVE            MOD SAVE
Str 22 +6 +6          Dex 10 +0 +6 Con 20 +5 +11
Int 16 +3 +9          Wis 23 +6 +12 Cha 18 +4 +4
Skills Arcana +9, Perception +12, Religion +15
Resistances Necrotic, Radiant
Immunities Psychic; Charmed, Frightened
Senses Truesight 120 ft.; Passive Perception 22
Languages Celestial, Common
CR 17 (XP 18,000, or 20,000 in lair; PB +6)
Traits
Inscrutable. No magic can observe the sphinx remotely
or detect its thoughts without its permission. Wisdom
(Insight) checks made to ascertain its intentions or sin-
cerity are made with Disadvantage.
Legendary Resistance (3/Day, or 4/Day in Lair). If
the sphinx fails a saving throw, it can choose to suc-
ceed instead.
Actions
Multiattack. The sphinx makes two Claw attacks and
uses Roar.
Claw. Melee Attack Roll: +12, reach 5 ft. Hit: 20 (4d6
+ 6) Slashing damage.
Roar (3/Day). The sphinx emits a magical roar. When-
ever it roars, the roar has a different effect, as detailed
below (the sequence resets when it takes a Long Rest):
First Roar. Wisdom Saving Throw: DC 20, each enemy
in a 500-foot Emanation originating from the sphinx.
Failure: The target has the Frightened condition
for 1 minute.
Second Roar. Wisdom Saving Throw: DC 20, each
enemy in a 500-foot Emanation originating from the
sphinx. Failure: The target has the Paralyzed condi-
tion, and it repeats the save at the end of each of its
turns, ending the effect on itself on a success. After 1
minute, it succeeds automatically.
Third Roar. Constitution Saving Throw: DC 20, each
enemy in a 500-foot Emanation originating from
the sphinx. Failure: 44 (8d10) Thunder damage, and
the target has the Prone condition. Success: Half
damage only.
Spellcasting. The sphinx casts one of the following
spells, requiring no Material components and using
Wisdom as the spellcasting ability (spell save DC 20):
At Will: Detect Evil and Good, Thaumaturgy
1/Day Each: Detect Magic, Dispel Magic, Greater Res-
toration, Heroes' Feast, Zone of Truth
Legendary Actions
Legendary Action Uses: 3 (4 in Lair). Immediately after
another creature's turn, the sphinx can expend a use to
take one of the following actions. The sphinx regains all
expended uses at the start of each of its turns.
Arcane Prowl. The sphinx can teleport up to 30 feet
to an unoccupied space it can see, and it makes one
Claw attack.
Weight of Years. Constitution Saving Throw: DC 16,
one creature the sphinx can see within 120 feet. Failure:
The target gains 1 Exhaustion level. While the target has
any Exhaustion levels, it appears 3d10 years older. Fail-
ure or Success: The sphinx can't take this action again
until the start of its next turn.</t>
  </si>
  <si>
    <t>Sprite
Tiny Fey, Neutral Good
AC 15 		                    Initiative +4 (14)
HP 10 (4d4)
Speed 10 ft., Fly 40 ft.
MOD SAVE
Str 3 âˆ’4 âˆ’4
MOD SAVE
Dex 18 +4 +4
MOD SAVE
Con 10 +0 +0
Int 14 +2 +2          Wis 13 +1 +1         Cha 11 +0 +0
Skills Perception +3, Stealth +8
Senses Passive Perception 13
Languages Common, Elvish, Sylvan
CR 1/4 (XP 50; PB +2)
Actions
Needle Sword. Melee Attack Roll: +6, reach 5 ft. Hit: 6
(1d4 + 4) Piercing damage.
Enchanting Bow. Ranged Attack Roll: +6, range
40/160 ft. Hit: 1 Piercing damage, and the target has
the Charmed condition until the start of the sprite's
next turn.
Heart Sight. Charisma Saving Throw: DC 10, one crea-
ture within 5 feet the sprite can see (Celestials, Fiends,
and Undead automatically fail the save). Failure: The
sprite knows the target's emotions and alignment.
Invisibility. The sprite casts Invisibility on itself, requir-
ing no spell components and using Charisma as the
spellcasting ability.</t>
  </si>
  <si>
    <t>Hand Crossbow, Shortsword, Thieves' Tools</t>
  </si>
  <si>
    <t>Spy
Medium or Small Humanoid, Neutral
AC 12		                    Initiative +4 (14)
HP 27 (6d8)
Speed 30 ft., Climb 30 ft.
MOD SAVE              MOD SAVE              MOD SAVE
Str 10 +0 +0          Dex 15 +2 +2          Con 10 +0 +0
Int 12 +1 +1          Wis 14 +2 +2          Cha 16 +3 +3
Skills Deception +5, Insight +4, Investigation +5,
Perception +6, Sleight of Hand +4, Stealth +6
Gear Hand Crossbow, Shortsword, Thieves' Tools
Senses Passive Perception 16
Languages Common plus one other language
CR 1 (XP 200; PB +2)
Actions
Shortsword. Melee Attack Roll: +4, reach 5 ft. Hit: 5
(1d6 + 2) Piercing damage plus 7 (2d6) Poison damage.
Hand Crossbow. Ranged Attack Roll: +4, range 30/120
ft. Hit: 5 (1d6 + 2) Piercing damage plus 7 (2d6) Poi-
son damage.
Bonus Actions
Cunning Action. The spy takes the Dash, Disengage, or
Hide action.</t>
  </si>
  <si>
    <t>Stirge
Tiny Monstrosity, Unaligned
AC 13		                      Initiative +3 (13)
HP 5 (2d4)
Speed 10 ft., Fly 40 ft.
MOD SAVE
Str 4 âˆ’3 âˆ’3
MOD SAVE
Dex 16 +3 +3
MOD SAVE
Con 11 +0 +0
Int 2 âˆ’4 âˆ’4           Wis 8 âˆ’1 âˆ’1        Cha 6 âˆ’2 âˆ’2
Senses Darkvision 60 ft.; Passive Perception 9
Languages None
CR 1/8 (XP 25; PB +2)
Actions
Proboscis. Melee Attack Roll: +5, reach 5 ft. Hit: 6 (1d6
+ 3) Piercing damage, and the stirge attaches to the
target. While attached, the stirge can't make Proboscis
attacks, and the target takes 5 (2d4) Necrotic damage at
the start of each of the stirge's turns.
The stirge can detach itself by spending 5 feet of its
movement. The target or a creature within 5 feet of it
can detach the stirge as an action.</t>
  </si>
  <si>
    <t>Stone Giant
Huge Giant, Neutral
AC 17		                   Initiative +5 (15)
HP 126 (11d12 + 55)
Speed 40 ft.
MOD SAVE            MOD SAVE            MOD SAVE
Str 23 +6 +6          Dex 15 +2 +5       Con 20 +5 +8
Int 10 +0 +0          Wis 12 +1 +4       Cha 9 âˆ’1 âˆ’1
Skills Athletics +12, Perception +4, Stealth +5
Senses Darkvision 60 ft.; Passive Perception 14
Languages Giant
CR 7 (XP 2,900; PB +3)
Actions
Multiattack. The giant makes two attacks, using Stone
Club or Boulder in any combination.
Stone Club. Melee Attack Roll: +9, reach 15 ft. Hit: 22
(3d10 + 6) Bludgeoning damage.
Boulder. Ranged Attack Roll: +9, range 60/240 ft. Hit:
15 (2d8 + 6) Bludgeoning damage. If the target is a
Large or smaller creature, it has the Prone condition.
Reactions
Deflect Missile (Recharge 5â€“6). Trigger: The giant is hit
by a ranged attack roll and takes Bludgeoning, Pierc-
ing, or Slashing damage from it. Response: The giant
reduces the damage it takes from the attack by 11 (1d10
+ 6), and if that damage is reduced to 0, the giant can
redirect some of the attack's force. Dexterity Saving
Throw: DC 17, one creature the giant can see within 60
feet. Failure: 11 (1d10 + 6) Force damage.</t>
  </si>
  <si>
    <t>Stone Golem
Large Construct, Unaligned
AC 18		                      Initiative +3 (13)
HP 220 (21d10 + 105)
Speed 30 ft.
MOD SAVE              MOD SAVE          MOD SAVE
Str 22 +6 +6          Dex 9 âˆ’1 âˆ’1           Con 20 +5 +5
Int 3 âˆ’4 âˆ’4           Wis 11 +0 +0          Cha 1 âˆ’5 âˆ’5
Immunities Poison, Psychic; Charmed, Exhaustion,
Frightened, Paralyzed, Petrified, Poisoned
Senses Darkvision 120 ft.; Passive Perception 10
Languages Understands Common plus two other
languages but can't speak
CR 10 (XP 5,900; PB +4)
Traits
Immutable Form. The golem can't shape-shift.
Magic Resistance. The golem has Advantage on saving
throws against spells and other magical effects.
Actions
Multiattack. The golem makes two attacks, using Slam
or Force Bolt in any combination.
Slam. Melee Attack Roll: +10, reach 5 ft. Hit: 15 (2d8
+ 6) Bludgeoning damage plus 9 (2d8) Force damage.
Force Bolt. Ranged Attack Roll: +9, range 120 ft. Hit:
22 (4d10) Force damage.
Bonus Actions
Slow (Recharge 5â€“6). The golem casts the Slow spell,
requiring no spell components and using Constitution
as the spellcasting ability (spell save DC 17).</t>
  </si>
  <si>
    <t>Storm Giant
Huge Giant, Chaotic Good
AC 16		                      Initiative +7 (17)
HP 230 (20d12 + 100)
Speed 50 ft., Fly 25 ft. (hover), Swim 50 ft.
MOD SAVE              MOD SAVE          MOD SAVE
Str 29 +9 +14 Dex 14 +2 +2 Con 20 +5 +10
Int 16 +3 +3 Wis 20 +5 +10 Cha 18 +4 +9
Skills Arcana +8, Athletics +14, History +8, Perception +10
Resistances Cold
Immunities Lightning, Thunder
Senses Darkvision 120 ft., Truesight 30 ft.;
Passive Perception 20
Languages Common, Giant
CR 13 (XP 10,000; PB +5)
Traits
Amphibious. The giant can breathe air and water.
Actions
Multiattack. The giant makes two attacks, using Storm
Sword or Thunderbolt in any combination.
Storm Sword. Melee Attack Roll: +14, reach 10 ft.
Hit: 23 (4d6 + 9) Slashing damage plus 13 (3d8) Light-
ning damage.
Thunderbolt. Ranged Attack Roll: +14, range 500 ft.
Hit: 22 (2d12 + 9) Lightning damage, and the target has
the Blinded and Deafened conditions until the start of
the giant's next turn.
Lightning Storm (Recharge 5â€“6). Dexterity Saving
Throw: DC 18, each creature in a 10-foot-radius,
40-foot-high Cylinder originating from a point the giant
can see within 500 feet. Failure: 55 (10d10) Lightning
damage. Success: Half damage.
Spellcasting. The giant casts one of the following spells,
requiring no Material components and using Wisdom
as the spellcasting ability (spell save DC 18):
At Will: Detect Magic, Light
1/Day: Control Weather</t>
  </si>
  <si>
    <t>Succubus
Medium Fiend, Neutral Evil
AC 15		                    Initiative +3 (13)
HP 71 (13d8 + 13)
Speed 30 ft., Fly 60 ft.
MOD SAVE             MOD SAVE           MOD SAVE
Str 8 âˆ’1 âˆ’1           Dex 17 +3 +3        Con 13 +1 +1
Int 15 +2 +2          Wis 12 +1 +1        Cha 20 +5 +5
Skills Deception +9, Insight +5, Perception +5, Persuasion
+9, Stealth +7
Resistances Cold, Fire, Poison, Psychic
Senses Darkvision 60 ft.; Passive Perception 15
Languages Abyssal, Common, Infernal; telepathy 60 ft.
CR 4 (XP 1,100; PB +2)
Traits
Incubus Form. When the succubus finishes a Long
Rest, it can shape-shift into an Incubus, using that stat
block instead of this one.
Actions
Multiattack. The succubus makes one Fiendish Touch
attack and uses Charm or Draining Kiss.
Fiendish Touch. Melee Attack Roll: +7, reach 5 ft. Hit:
16 (2d10 + 5) Psychic damage.
Charm. The succubus casts Dominate Person (level 8
version), requiring no spell components and using Cha-
risma as the spellcasting ability (spell save DC 15).
Draining Kiss. Constitution Saving Throw: DC 15, one
creature Charmed by the succubus within 5 feet. Fail-
ure: 13 (3d8) Psychic damage. Success: Half damage.
Failure or Success: The target's Hit Point maximum de-
creases by an amount equal to the damage taken.
Bonus Actions
Shape-Shift. The succubus shape-shifts into a Medium
or Small Humanoid, or it returns to its true form. Its
game statistics are the same in each form, except its Fly
Speed is available only in its true form. Any equipment
it is wearing or carrying isn't transformed.</t>
  </si>
  <si>
    <t>Tarrasque
Gargantuan Monstrosity (Titan), Unaligned
AC 25		                    Initiative +18 (28)
HP 697 (34d20 + 340)
Speed 60 ft., Burrow 40 ft., Climb 60 ft.
MOD SAVE            MOD SAVE           MOD SAVE
Str 30 +10 +10 Dex 11 +0 +9              Con 30 +10 +10
Int 3 âˆ’4 +5 Wis 11 +0 +9                 Cha 11 +0 +9
Skills Perception +9
Resistances Bludgeoning, Piercing, Slashing
Immunities Fire, Poison; Charmed, Deafened, Frightened,
Paralyzed, Poisoned
Senses Blindsight 120 ft.; Passive Perception 19
Languages None
CR 30 (XP 155,000; PB +9)
Traits
Legendary Resistance (6/Day). If the tarrasque fails a
saving throw, it can choose to succeed instead.
Magic Resistance. The tarrasque has Advantage on sav-
ing throws against spells and other magical effects.
Reflective Carapace. If the tarrasque is targeted by a
Magic Missile spell or a spell that requires a ranged
attack roll, roll 1d6. On a 1â€“5, the tarrasque is unaf-
fected. On a 6, the tarrasque is unaffected and reflects
the spell, turning the caster into the target.
Siege Monster. The tarrasque deals double damage to
objects and structures.
Actions
Multiattack. The tarrasque makes one Bite attack
and three other attacks, using Claw or Tail in any
combination.
Bite. Melee Attack Roll: +19, reach 15 ft. Hit: 36 (4d12
+ 10) Piercing damage, and the target has the Grappled
condition (escape DC 20). Until the grapple ends, the
target has the Restrained condition and can't teleport.
Claw. Melee Attack Roll: +19, reach 15 ft. Hit: 28 (4d8
+ 10) Slashing damage.
Tail. Melee Attack Roll: +19, reach 30 ft. Hit: 23 (3d8
+ 10) Bludgeoning damage. If the target is a Huge or
smaller creature, it has the Prone condition.
Thunderous Bellow (Recharge 5â€“6). Constitution Sav-
ing Throw: DC 27, each creature and each object that
isn't being worn or carried in a 150-foot Cone. Failure:
78 (12d12) Thunder damage, and the target has the
Deafened and Frightened conditions until the end of its
next turn. Success: Half damage only.
Bonus Actions
Swallow. Strength Saving Throw: DC 27, one Large or
smaller creature Grappled by the tarrasque (it can have
up to six creatures swallowed at a time). Failure: The
target is swallowed, and the Grappled condition ends.
A swallowed creature has the Blinded and Restrained
conditions and can't teleport, it has Total Cover against
attacks and other effects outside the tarrasque, and it
takes 56 (16d6) Acid damage at the start of each of the
tarrasque's turns.
If the tarrasque takes 60 damage or more on a single
turn from a creature inside it, the tarrasque must suc-
ceed on a DC 20 Constitution saving throw at the end
of that turn or regurgitate all swallowed creatures, each
of which falls in a space within 10 feet of the tarrasque
and has the Prone condition. If the tarrasque dies, any
swallowed creature no longer has the Restrained con-
dition and can escape from the corpse using 20 feet of
movement, exiting Prone.
Legendary Actions
Legendary Action Uses: 3. Immediately after another
creature's turn, the tarrasque can expend a use to take
one of the following actions. The tarrasque regains all
expended uses at the start of each of its turns.
Onslaught. The tarrasque moves up to half its Speed,
and it makes one Claw or Tail attack.
World-Shaking Movement. The tarrasque moves up to
its Speed. At the end of this movement, the tarrasque
creates an instantaneous shock wave in a 60-foot Em-
anation originating from itself. Creatures in that area
lose Concentration and, if Medium or smaller, have the
Prone condition. The tarrasque can't take this action
again until the start of its next turn.</t>
  </si>
  <si>
    <t>Tough
Medium or Small Humanoid, Neutral
AC 12		                    Initiative +1 (11)
HP 32 (5d8 + 10)
Speed 30 ft.
MOD SAVE             MOD SAVE             MOD SAVE
Str 15 +2 +2         Dex 12 +1 +1         Con 14 +2 +2
Int 10 +0 +0         Wis 10 +0 +0         Cha 11 +0 +0
Gear Heavy Crossbow, Leather Armor, Mace
Senses Passive Perception 10
Languages Common
CR 1/2 (XP 100; PB +2)
Traits
Pack Tactics. The tough has Advantage on an attack
roll against a creature if at least one of the tough's allies
is within 5 feet of the creature and the ally doesn't have
the Incapacitated condition.
Actions
Mace. Melee Attack Roll: +4, reach 5 ft. Hit: 5 (1d6
+ 2) Bludgeoning damage.
Heavy Crossbow. Ranged Attack Roll: +3, range
100/400 ft. Hit: 6 (1d10 + 1) Piercing damage.</t>
  </si>
  <si>
    <t>Tough Boss
Medium or Small Humanoid, Neutral
AC 16		           Initiative +2 (12)
HP 82 (11d8 + 33)
Speed 30 ft.
MOD SAVE             MOD SAVE             MOD SAVE
Str 17 +3 +5         Dex 14 +2 +2         Con 16 +3 +5
Int 11 +0 +0         Wis 10 +0 +0         Cha 11 +0 +2
Gear Chain Mail, Heavy Crossbow, Warhammer
Senses Passive Perception 10
Languages Common plus one other language
CR 4 (XP 1,100; PB +2)
Traits
Pack Tactics. The tough has Advantage on an attack
roll against a creature if at least one of the tough's allies
is within 5 feet of the creature and the ally doesn't have
the Incapacitated condition.
Actions
Multiattack. The tough makes two attacks, using War-
hammer or Heavy Crossbow in any combination.
Warhammer. Melee Attack Roll: +5, reach 5 ft. Hit: 12
(2d8 + 3) Bludgeoning damage. If the target is a Large
or smaller creature, the tough pushes the target up to 10
feet straight away from itself.
Heavy Crossbow. Ranged Attack Roll: +4, range
100/400 ft. Hit: 13 (2d10 + 2) Piercing damage.</t>
  </si>
  <si>
    <t>Treant
Huge Plant, Chaotic Good
AC 16		                     Initiative +3 (13)
HP 138 (12d12 + 60)
Speed 30 ft.
MOD SAVE             MOD SAVE           MOD SAVE
Str 23 +6 +6         Dex 8 âˆ’1 âˆ’1           Con 21 +5 +5
Int 12 +1 +1         Wis 16 +3 +3          Cha 12 +1 +1
Vulnerabilities Fire
Resistances Bludgeoning, Piercing
Senses Passive Perception 13
Languages Common, Druidic, Elvish, Sylvan
CR 9 (XP 5,000; PB +4)
Traits
Siege Monster. The treant deals double damage to ob-
jects and structures.
Actions
Multiattack. The treant makes two Slam attacks.
Slam. Melee Attack Roll: +10, reach 5 ft. Hit: 16 (3d6
+ 6) Bludgeoning damage.
Hail of Bark. Ranged Attack Roll: +10, range 180 ft.
Hit: 28 (4d10 + 6) Piercing damage.
Animate Trees (1/Day). The treant magically animates
up to two trees it can see within 60 feet of itself. Each
tree uses the Treant stat block, except it has Intelligence
and Charisma scores of 1, it can't speak, and it lacks
this action. The tree takes its turn immediately after the
treant on the same Initiative count, and it obeys the tre-
ant. A tree remains animate for 1 day or until it dies, the
treant dies, or it is more than 120 feet from the treant.
The tree then takes root if possible.</t>
  </si>
  <si>
    <t>Troll
Large Giant, Chaotic Evil
AC 15		                     Initiative +1 (11)
HP 94 (9d10 + 45)
Speed 30 ft.
MOD SAVE             MOD SAVE           MOD SAVE
Str 18 +4 +4         Dex 13 +1 +1          Con 20 +5 +5
Int 7 âˆ’2 âˆ’2          Wis 9 âˆ’1 âˆ’1           Cha 7 âˆ’2 âˆ’2
Skills Perception +5
Senses Darkvision 60 ft.; Passive Perception 15
Languages Giant
CR 5 (XP 1,800; PB +3)
Traits
Loathsome Limbs (4/Day). If the troll ends any turn
Bloodied and took 15+ Slashing damage during that
turn, one of the troll's limbs is severed, falls into the
troll's space, and becomes a Troll Limb. The limb acts
immediately after the troll's turn. The troll has 1 Exhaus-
tion level for each missing limb, and it grows replace-
ment limbs the next time it regains Hit Points.
Regeneration. The troll regains 15 Hit Points at the start
of each of its turns. If the troll takes Acid or Fire dam-
age, this trait doesn't function on the troll's next turn.
The troll dies only if it starts its turn with 0 Hit Points
and doesn't regenerate.
Actions
Multiattack. The troll makes three Rend attacks.
Rend. Melee Attack Roll: +7, reach 10 ft. Hit: 11 (2d6
+ 4) Slashing damage.
Bonus Actions
Charge. The troll moves up to half its Speed straight
toward an enemy it can see.</t>
  </si>
  <si>
    <t>Troll Limb
Small Giant, Chaotic Evil
AC 13		      Initiative +1 (11)
HP 14 (4d6)
Speed 20 ft.
MOD SAVE            MOD SAVE            MOD SAVE
Str 18 +4 +4         Dex 12 +1 +1        Con 10 +0 +0
Int 1 âˆ’5 âˆ’5          Wis 9 âˆ’1 âˆ’1         Cha 1 âˆ’5 âˆ’5
Senses Darkvision 60 ft.; Passive Perception 9
Languages None
CR 1/2 (XP 100; PB +2)
Traits
Regeneration. The limb regains 5 Hit Points at the start
of each of its turns. If the limb takes Acid or Fire dam-
age, this trait doesn't function on the limb's next turn.
The limb dies only if it starts its turn with 0 Hit Points
and doesn't regenerate.
Troll Spawn. The limb uncannily has the same senses
as a whole troll. If the limb isn't destroyed within 24
hours, roll 1d12. On a 12, the limb turns into a Troll.
Otherwise, the limb withers away.
Actions
Rend. Melee Attack Roll: +6, reach 5 ft. Hit: 9 (2d4 +
4) Slashing damage.</t>
  </si>
  <si>
    <t>Unicorn
Large Celestial, Lawful Good
AC 12		                    Initiative +8 (18)
HP 97 (13d10 + 26)
Speed 50 ft.
MOD SAVE             MOD SAVE             MOD SAVE
Str 18 +4 +4         Dex 14 +2 +2         Con 15 +2 +2
Int 11 +0 +0         Wis 17 +3 +3         Cha 16 +3 +3
Immunities Poison; Charmed, Paralyzed, Poisoned
Senses Darkvision 60 ft.; Passive Perception 13
Languages Celestial, Elvish, Sylvan; telepathy 120 ft.
CR 5 (XP 1,800; PB +3)
Traits
Legendary Resistance (3/Day). If the unicorn fails a sav-
ing throw, it can choose to succeed instead.
Magic Resistance. The unicorn has Advantage on sav-
ing throws against spells and other magical effects.
Actions
Multiattack. The unicorn makes one Hooves attack and
one Radiant Horn attack.
Hooves. Melee Attack Roll: +7, reach 5 ft. Hit: 11 (2d6
+ 4) Bludgeoning damage.
Radiant Horn. Melee Attack Roll: +7, reach 5 ft. Hit: 9
(1d10 + 4) Radiant damage.
Spellcasting. The unicorn casts one of the following
spells, requiring no spell components and using Cha-
risma as the spellcasting ability (spell save DC 14):
At Will: Detect Evil and Good, Druidcraft
1/Day Each: Calm Emotions, Dispel Evil and Good, En-
tangle, Pass without Trace, Word of Recall
Bonus Actions
Unicorn's Blessing (3/Day). The unicorn touches an-
other creature with its horn and casts Cure Wounds
or Lesser Restoration on that creature, using the same
spellcasting ability as Spellcasting.
Legendary Actions
Legendary Action Uses: 3. Immediately after another
creature's turn, the unicorn can expend a use to take one
of the following actions. The unicorn regains all expended
uses at the start of each of its turns.
Charging Horn. The unicorn moves up to half its Speed
without provoking Opportunity Attacks, and it makes
one Radiant Horn attack.
Shimmering Shield. The unicorn targets itself or one
creature it can see within 60 feet of itself. The target
gains 10 (3d6) Temporary Hit Points, and its AC in-
creases by 2 until the end of the unicorn's next turn.
The unicorn can't take this action again until the start of
its next turn.</t>
  </si>
  <si>
    <t>Vampire Familiar
Medium or Small Humanoid, Neutral Evil
AC 15		                    Initiative +5 (15)
HP 65 (10d8 + 20)
Speed 30 ft., Climb 30 ft.
MOD SAVE             MOD SAVE           MOD SAVE
Str 17 +3 +3         Dex 16 +3 +5         Con 15 +2 +2
Int 10 +0 +0         Wis 10 +0 +2         Cha 14 +2 +2
Skills Perception +4, Persuasion +4, Stealth +7
Resistances Necrotic
Immunities Charmed (except from its vampire master)
Gear Daggers (10)
Senses Darkvision 60 ft.; Passive Perception 14
Languages Common plus one other language
CR 3 (XP 700; PB +2)
Traits
Vampiric Connection. While the familiar and its vam-
pire master are on the same plane of existence, the
vampire can communicate with the familiar telepathi-
cally, and the vampire can perceive through the famil-
iar's senses.
Actions
Multiattack. The familiar makes two Umbral Dag-
ger attacks.
Umbral Dagger. Melee or Ranged Attack Roll: +5,
reach 5 ft. or range 20/60 ft. Hit: 5 (1d4 + 3) Piercing
damage plus 7 (3d4) Necrotic damage. If the target
is reduced to 0 Hit Points by this attack, the target
becomes Stable but has the Poisoned condition for 1
hour. While it has the Poisoned condition, the target
has the Paralyzed condition.
Bonus Actions
Deathless Agility. The familiar takes the Dash or Disen-
gage action.</t>
  </si>
  <si>
    <t>Vampire Spawn
Medium or Small Undead, Neutral Evil
AC 16		                    Initiative +3 (13)
HP 90 (12d8 + 36)
Speed 30 ft.
MOD SAVE             MOD SAVE             MOD SAVE
Str 16 +3 +3         Dex 16 +3 +6         Con 16 +3 +3
Int 11 +0 +0         Wis 10 +0 +3         Cha 12 +1 +1
Skills Perception +3, Stealth +6
Resistances Necrotic
Senses Darkvision 60 ft.; Passive Perception 13
Languages Common plus one other language
CR 5 (XP 1,800; PB +3)
Traits
Spider Climb. The vampire can climb difficult surfaces,
including along ceilings, without needing to make an
ability check.
Vampire Weakness. The vampire has these
weaknesses:
Forbiddance. The vampire can't enter a residence with-
out an invitation from an occupant.
Running Water. The vampire takes 20 Acid damage if it
ends its turn in running water.
Stake to the Heart. The vampire is destroyed if a
weapon that deals Piercing damage is driven into the
vampire's heart while the vampire has the Incapaci-
tated condition.
Sunlight. The vampire takes 20 Radiant damage if it
starts its turn in sunlight. While in sunlight, it has Dis-
advantage on attack rolls and ability checks.
Actions
Multiattack. The vampire makes two Claw attacks and
uses Bite.
Claw. Melee Attack Roll: +6, reach 5 ft. Hit: 8 (2d4 + 3)
Slashing damage. If the target is a Medium or smaller
creature, it has the Grappled condition (escape DC 13)
from one of two claws.
Bite. Constitution Saving Throw: DC 14, one creature
within 5 feet that is willing or that has the Grappled,
Incapacitated, or Restrained condition. Failure: 5 (1d4
+ 3) Piercing damage plus 10 (3d6) Necrotic dam-
age. The target's Hit Point maximum decreases by an
amount equal to the Necrotic damage taken, and the
vampire regains Hit Points equal to that amount.
Bonus Actions
Deathless Agility. The vampire takes the Dash or Dis-
engage action.</t>
  </si>
  <si>
    <t>Vampire
Medium or Small Undead, Lawful Evil
AC 16		                    Initiative +14 (24)
HP 195 (23d8 + 92)
Speed 40 ft., Climb 40 ft.
MOD SAVE             MOD SAVE             MOD SAVE
Str 18 +4 +4         Dex 18 +4 +9         Con 18 +4 +9
Int 17 +3 +3         Wis 15 +2 +7         Cha 18 +4 +9
Skills Perception +7, Stealth +9
Resistances Necrotic
Senses Darkvision 120 ft.; Passive Perception 17
Languages Common plus two other languages
CR 13 (XP 10,000, or 11,500 in lair; PB +5)
Traits
Legendary Resistance (3/Day, or 4/Day in Lair). If
the vampire fails a saving throw, it can choose to suc-
ceed instead.
Misty Escape. If the vampire drops to 0 Hit Points out-
side its resting place, the vampire uses Shape-Shift to
become mist (no action required). If it can't use Shape-
Shift, it is destroyed.
While it has 0 Hit Points in mist form, it can't return
to its vampire form, and it must reach its resting place
within 2 hours or be destroyed. Once in its resting
place, it returns to its vampire form and has the Para-
lyzed condition until it regains any Hit Points, and it
regains 1 Hit Point after spending 1 hour there.
Spider Climb. The vampire can climb difficult surfaces,
including along ceilings, without needing to make an
ability check.
Vampire Weakness. The vampire has these
weaknesses:
Forbiddance. The vampire can't enter a residence with-
out an invitation from an occupant.
Running Water. The vampire takes 20 Acid damage if it
ends its turn in running water.
Stake to the Heart. If a weapon that deals Piercing
damage is driven into the vampire's heart while the
vampire has the Incapacitated condition in its resting
place, the vampire has the Paralyzed condition until
the weapon is removed.
Sunlight. The vampire takes 20 Radiant damage if it
starts its turn in sunlight. While in sunlight, it has Dis-
advantage on attack rolls and ability checks.
Actions
Multiattack (Vampire Form Only). The vampire makes
two Grave Strike attacks and uses Bite.
Grave Strike (Vampire Form Only). Melee Attack Roll:
+9, reach 5 ft. Hit: 8 (1d8 + 4) Bludgeoning damage
plus 7 (2d6) Necrotic damage. If the target is a Large or
smaller creature, it has the Grappled condition (escape
DC 14) from one of two hands.
Bite (Bat or Vampire Form Only). Constitution Saving
Throw: DC 17, one creature within 5 feet that is willing
or that has the Grappled, Incapacitated, or Restrained
condition. Failure: 6 (1d4 + 4) Piercing damage plus 13
(3d8) Necrotic damage. The target's Hit Point maximum
decreases by an amount equal to the Necrotic damage
taken, and the vampire regains Hit Points equal to that
amount. A Humanoid reduced to 0 Hit Points by this
damage and then buried rises the following sunset as a
Vampire Spawn under the vampire's control.
Bonus Actions
Charm (Recharge 5â€“6). The vampire casts Charm Per-
son, requiring no spell components and using Charisma
as the spellcasting ability (spell save DC 17), and the
duration is 24 hours. The Charmed target is a willing
recipient of the vampire's Bite, the damage of which
doesn't end the spell. When the spell ends, the target is
unaware it was Charmed by the vampire.
Shape-Shift. If the vampire isn't in sunlight or running
water, it shape-shifts into a Tiny bat (Speed 5 ft., Fly
Speed 30 ft.) or a Medium cloud of mist (Speed 5 ft.,
Fly Speed 20 ft. [hover]), or it returns to its vampire
form. Anything it is wearing transforms with it.
While in bat form, the vampire can't speak. Its game
statistics, other than its size and Speed, are unchanged.
While in mist form, the vampire can't take any ac-
tions, speak, or manipulate objects. It is weightless and
can enter an enemy's space and stop there. If air can
pass through a space, the mist can do so, but it can't
pass through liquid. It has Resistance to all damage, ex-
cept the damage it takes from sunlight.
Legendary Actions
Legendary Action Uses: 3 (4 in Lair). Immediately after
another creature's turn, the vampire can expend a use to
take one of the following actions. The vampire regains all
expended uses at the start of each of its turns.
Beguile. The vampire casts Command, requiring no
spell components and using Charisma as the spellcast-
ing ability (spell save DC 17). The vampire can't take
this action again until the start of its next turn.
Deathless Strike. The vampire moves up to half its
Speed, and it makes one Grave Strike attack.</t>
  </si>
  <si>
    <t>Vrock
Large Fiend (Demon), Chaotic Evil
AC 15		                    Initiative +2 (12)
HP 152 (16d10 + 64)
Speed 40 ft., Fly 60 ft.
MOD SAVE             MOD SAVE            MOD SAVE
Str 17 +3 +3         Dex 15 +2 +5         Con 18 +4 +4
Int 8 âˆ’1 âˆ’1          Wis 13 +1 +4         Cha 8 âˆ’1 +2
Resistances Cold, Fire, Lightning
Immunities Poison; Poisoned
Senses Darkvision 120 ft.; Passive Perception 11
Languages Abyssal; telepathy 120 ft.
CR 6 (XP 2,300; PB +3)
Traits
Demonic Restoration. If the vrock dies outside the
Abyss, its body dissolves into ichor, and it gains a new
body instantly, reviving with all its Hit Points some-
where in the Abyss.
Magic Resistance. The vrock has Advantage on saving
throws against spells and other magical effects.
Actions
Multiattack. The vrock makes two Shred attacks.
Shred. Melee Attack Roll: +6, reach 5 ft. Hit: 10 (2d6
+ 3) Piercing damage plus 10 (3d6) Poison damage.
Spores (Recharge 6). Constitution Saving Throw: DC
15, each creature in a 20-foot Emanation originating
from the vrock. Failure: The target has the Poisoned
condition and repeats the save at the end of each of its
turns, ending the effect on itself on a success. While
Poisoned, the target takes 5 (1d10) Poison damage at
the start of each of its turns. Emptying a flask of Holy
Water on the target ends the effect early.
Stunning Screech (1/Day). Constitution Saving Throw:
DC 15, each creature in a 20-foot Emanation originating
from the vrock (demons succeed automatically). Fail-
ure: 10 (3d6) Thunder damage, and the target has the
Stunned condition until the end of the vrock's next turn.</t>
  </si>
  <si>
    <t>Warrior Infantry
Medium or Small Humanoid, Neutral
AC 13
HP 9 (2d8)
Initiative +0 (10)
Speed 30 ft.
MOD SAVE             MOD SAVE            MOD SAVE
Str 13 +1 +1         Dex 11 +0 +0         Con 11 +0 +0
Int 8 âˆ’1 âˆ’1          Wis 11 +0 +0         Cha 8 âˆ’1 âˆ’1
Gear Chain Shirt, Spear
Senses Passive Perception 10
Languages Common
CR 1/8 (XP 25; PB +2)
Traits
Pack Tactics. The warrior has Advantage on an attack
roll against a creature if at least one of the warrior's al-
lies is within 5 feet of the creature and the ally doesn't
have the Incapacitated condition.
Actions
Spear. Melee or Ranged Attack Roll: +3, reach 5 ft. or
range 20/60 ft. Hit: 4 (1d6 + 1) Piercing damage.</t>
  </si>
  <si>
    <t>Water Elemental
Large Elemental, Neutral
AC 14		                   Initiative +2 (12)
HP 114 (12d10 + 48)
Speed 30 ft., Swim 90 ft.
MOD SAVE             MOD SAVE             MOD SAVE
Str 18 +4 +4         Dex 14 +2 +2          Con 18 +4 +4
Int 5 âˆ’3 âˆ’3          Wis 10 +0 +0          Cha 8 âˆ’1 âˆ’1
Resistances Acid, Fire
Immunities Poison; Exhaustion, Grappled, Paralyzed,
Petrified, Poisoned, Prone, Restrained, Unconscious
Senses Darkvision 60 ft.; Passive Perception 10
Languages Primordial (Aquan)
CR 5 (XP 1,800; PB +3)
Traits
Freeze. If the elemental takes Cold damage, its Speed
decreases by 20 feet until the end of its next turn.
Water Form. The elemental can enter an enemy's space
and stop there. It can move through a space as narrow
as 1 inch without expending extra movement to do so.
Actions
Multiattack. The elemental makes two Slam attacks.
Slam. Melee Attack Roll: +7, reach 5 ft. Hit: 13 (2d8
+ 4) Bludgeoning damage. If the target is a Medium or
smaller creature, it has the Prone condition.
Whelm (Recharge 4â€“6). Strength Saving Throw: DC 15,
each creature in the elemental's space. Failure: 22 (4d8
+ 4) Bludgeoning damage. If the target is a Large or
smaller creature, it has the Grappled condition (escape
DC 14). Until the grapple ends, the target has the Re-
strained condition, is suffocating unless it can breathe
water, and takes 9 (2d8) Bludgeoning damage at the
start of each of the elemental's turns. The elemental
can grapple one Large creature or up to two Medium
or smaller creatures at a time with Whelm. As an ac-
tion, a creature within 5 feet of the elemental can pull
a creature out of it by succeeding on a DC 14 Strength
(Athletics) check. Success: Half damage only.</t>
  </si>
  <si>
    <t>Common (can't speak in bear form)</t>
  </si>
  <si>
    <t>Werebear
Medium or Small Monstrosity (Lycanthrope), Neutral Good
AC 15		                      Initiative +3 (13)
HP 135 (18d8 + 54)
Speed 30 ft., 40 ft. (bear form only), Climb 30 ft. (bear
form only)
MOD SAVE             MOD SAVE             MOD SAVE
Str 19 +4 +4         Dex 10 +0 +0         Con 17 +3 +3
Int 11 +0 +0         Wis 12 +1 +1         Cha 12 +1 +1
Skills Perception +7
Gear Handaxes (4)
Senses Darkvision 60 ft.; Passive Perception 17
Languages Common (can't speak in bear form)
CR 5 (XP 1,800; PB +3)
Actions
Multiattack. The werebear makes two attacks, using
Handaxe or Rend in any combination. It can replace
one attack with a Bite attack.
Bite (Bear or Hybrid Form Only). Melee Attack Roll:
+7, reach 5 ft. Hit: 17 (2d12 + 4) Piercing damage. If
the target is a Humanoid, it is subjected to the follow-
ing effect. Constitution Saving Throw: DC 14. Failure:
The target is cursed. If the cursed target drops to 0 Hit
Points, it instead becomes a Werebear under the GM's
control and has 10 Hit Points. Success: The target is im-
mune to this werebear's curse for 24 hours.
Handaxe (Humanoid or Hybrid Form Only). Melee
or Ranged Attack Roll: +7, reach 5 ft or range 20/60 ft.
Hit: 14 (3d6 + 4) Slashing damage.
Rend (Bear or Hybrid Form Only). Melee Attack Roll:
+7, reach 5 ft. Hit: 13 (2d8 + 4) Slashing damage.
Bonus Actions
Shape-Shift. The werebear shape-shifts into a Large
bear-humanoid hybrid form or a Large bear, or it re-
turns to its true humanoid form. Its game statistics,
other than its size, are the same in each form. Any
equipment it is wearing or carrying isn't transformed.</t>
  </si>
  <si>
    <t>Common (can't speak in boar form)</t>
  </si>
  <si>
    <t>Wereboar
Medium or Small Monstrosity (Lycanthrope), Neutral Evil
AC 15		                      Initiative +2 (12)
HP 97 (15d8 + 30)
Speed 30 ft., 40 ft. (boar form only)
MOD SAVE              MOD SAVE          MOD SAVE
Str 17 +3 +3          Dex 10 +0 +0          Con 15 +2 +2
Int 10 +0 +0          Wis 11 +0 +0          Cha 8 âˆ’1 âˆ’1
Skills Perception +2
Gear Javelins (6)
Senses Passive Perception 12
Languages Common (can't speak in boar form)
CR 4 (XP 1,100; PB +2)
Actions
Multiattack. The wereboar makes two attacks, using
Javelin or Tusk in any combination. It can replace one
attack with a Gore attack.
Gore (Boar or Hybrid Form Only). Melee Attack Roll:
+5, reach 5 ft. Hit: 12 (2d8 + 3) Piercing damage. If
the target is a Humanoid, it is subjected to the follow-
ing effect. Constitution Saving Throw: DC 12. Failure:
The target is cursed. If the cursed target drops to 0 Hit
Points, it instead becomes a Wereboar under the GM's
control and has 10 Hit Points. Success: The target is im-
mune to this wereboar's curse for 24 hours.
Javelin (Humanoid or Hybrid Form Only). Melee or
Ranged Attack Roll: +5, reach 5 ft. or range 30/120 ft.
Hit: 13 (3d6 + 3) Piercing damage.
Tusk (Boar or Hybrid Form Only). Melee Attack Roll:
+5, reach 5 ft. Hit: 10 (2d6 + 3) Piercing damage. If the
target is a Medium or smaller creature and the were-
boar moved 20+ feet straight toward it immediately
before the hit, the target takes an extra 7 (2d6) Piercing
damage and has the Prone condition.
Bonus Actions
Shape-Shift. The wereboar shape-shifts into a Medium
boar-humanoid hybrid or a Small boar, or it returns to
its true humanoid form. Its game statistics, other than
its size, are the same in each form. Any equipment it is
wearing or carrying isn't transformed.</t>
  </si>
  <si>
    <t>Common (can't speak in rat form)</t>
  </si>
  <si>
    <t>Wererat
Medium or Small Monstrosity (Lycanthrope), Lawful Evil
AC 13		                    Initiative +3 (13)
HP 60 (11d8 + 11)
Speed 30 ft., Climb 30 ft.
MOD SAVE             MOD SAVE           MOD SAVE
Str 10 +0 +0         Dex 16 +3 +3         Con 12 +1 +1
Int 11 +0 +0         Wis 10 +0 +0         Cha 8 âˆ’1 âˆ’1
Skills Perception +4, Stealth +5
Gear Hand Crossbow
Senses Darkvision 60 ft.; Passive Perception 14
Languages Common (can't speak in rat form)
CR 2 (XP 450; PB +2)
Actions
Multiattack. The wererat makes two attacks, using
Scratch or Hand Crossbow in any combination. It can
replace one attack with a Bite attack.
Bite (Rat or Hybrid Form Only). Melee Attack Roll:
+5, reach 5 ft. Hit: 8 (2d4 + 3) Piercing damage. If the
target is a Humanoid, it is subjected to the following
effect. Constitution Saving Throw: DC 11. Failure: The
target is cursed. If the cursed target drops to 0 Hit
Points, it instead becomes a Wererat under the GM's
control and has 10 Hit Points. Success: The target is im-
mune to this wererat's curse for 24 hours.
Scratch. Melee Attack Roll: +5, reach 5 ft. Hit: 6 (1d6
+ 3) Slashing damage.
Hand Crossbow (Humanoid or Hybrid Form Only).
Ranged Attack Roll: +5, range 30/120 ft. Hit: 6 (1d6
+ 3) Piercing damage.
Bonus Actions
Shape-Shift. The wererat shape-shifts into a Medium
rat-humanoid hybrid or a Small rat, or it returns to its
true humanoid form. Its game statistics, other than its
size, are the same in each form. Any equipment it is
wearing or carrying isn't transformed.</t>
  </si>
  <si>
    <t>Common (can't speak in tiger form)</t>
  </si>
  <si>
    <t>Weretiger
Medium or Small Monstrosity (Lycanthrope), Neutral
AC 12		                       Initiative +2 (12)
HP 120 (16d8 + 48)
Speed 30 ft., 40 ft. (tiger form only)
MOD SAVE              MOD SAVE          MOD SAVE
Str 17 +3 +3          Dex 15 +2 +2          Con 16 +3 +3
Int 10 +0 +0          Wis 13 +1 +1          Cha 11 +0 +0
Skills Perception +5, Stealth +4
Gear Longbow
Senses Darkvision 60 ft.; Passive Perception 15
Languages Common (can't speak in tiger form)
CR 4 (XP 1,100; PB +2)
Actions
Multiattack. The weretiger makes two attacks, using
Scratch or Longbow in any combination. It can replace
one attack with a Bite attack.
Bite (Tiger or Hybrid Form Only). Melee Attack Roll:
+5, reach 5 ft. Hit: 12 (2d8 + 3) Piercing damage. If
the target is a Humanoid, it is subjected to the follow-
ing effect. Constitution Saving Throw: DC 13. Failure:
The target is cursed. If the cursed target drops to 0 Hit
Points, it instead becomes a Weretiger under the GM's
control and has 10 Hit Points. Success: The target is im-
mune to this weretiger's curse for 24 hours.
Scratch. Melee Attack Roll: +5, reach 5 ft. Hit: 10 (2d6
+ 3) Slashing damage.
Longbow (Humanoid or Hybrid Form Only). Ranged
Attack Roll: +4, range 150/600 ft. Hit: 11 (2d8 + 2)
Piercing damage.
Bonus Actions
Prowl (Tiger or Hybrid Form Only). The weretiger
moves up to its Speed without provoking Opportunity
Attacks. At the end of this movement, the weretiger can
take the Hide action.
Shape-Shift. The weretiger shape-shifts into a Large
tiger-humanoid hybrid or a Large tiger, or it returns to
its true humanoid form. Its game statistics, other than
its size, are the same in each form. Any equipment it is
wearing or carrying isn't transformed.</t>
  </si>
  <si>
    <t>Common (can't speak in wolf form)</t>
  </si>
  <si>
    <t>Werewolf
Medium or Small Monstrosity (Lycanthrope), Chaotic Evil
AC 15		                      Initiative +4 (14)
HP 71 (11d8 + 22)
Speed 30 ft., 40 ft. (wolf form only)
MOD SAVE
Str 16 +3 +3
MOD SAVE
Dex 14 +2 +2          Con 14 +2 +2
MOD SAVE
Int 10 +0 +0         Wis 11 +0 +0          Cha 10 +0 +0
Skills Perception +4, Stealth +4
Gear Longbow
Senses Darkvision 60 ft.; Passive Perception 14
Languages Common (can't speak in wolf form)
CR 3 (XP 700; PB +2)
Traits
Pack Tactics. The werewolf has Advantage on an attack
roll against a creature if at least one of the werewolf's
allies is within 5 feet of the creature and the ally doesn't
have the Incapacitated condition.
Actions
Multiattack. The werewolf makes two attacks, using
Scratch or Longbow in any combination. It can replace
one attack with a Bite attack.
Bite (Wolf or Hybrid Form Only). Melee Attack Roll:
+5, reach 5 ft. Hit: 12 (2d8 + 3) Piercing damage. If
the target is a Humanoid, it is subjected to the follow-
ing effect. Constitution Saving Throw: DC 12. Failure:
The target is cursed. If the cursed target drops to 0 Hit
Points, it instead becomes a Werewolf under the GM's
control and has 10 Hit Points. Success: The target is im-
mune to this werewolf's curse for 24 hours.
Scratch. Melee Attack Roll: +5, reach 5 ft. Hit: 10 (2d6
+ 3) Slashing damage.
Longbow (Humanoid or Hybrid Form Only). Ranged
Attack Roll: +4, range 150/600 ft. Hit: 11 (2d8 + 2)
Piercing damage.
Bonus Actions
Shape-Shift. The werewolf shape-shifts into a Large
wolf-humanoid hybrid or a Medium wolf, or it returns
to its true humanoid form. Its game statistics, other than
its size, are the same in each form. Any equipment it is
wearing or carrying isn't transformed.</t>
  </si>
  <si>
    <t>White Dragon Wyrmling
Medium Dragon (Chromatic), Chaotic Evil
AC 16		                     Initiative +2 (12)
HP 32 (5d8 + 10)
Speed 30 ft., Burrow 15 ft., Fly 60 ft., Swim 30 ft.
MOD SAVE
Str 14 +2 +2
MOD SAVE
Dex 10 +0 +2          Con 14 +2 +2
MOD SAVE
Int 5 âˆ’3 âˆ’3          Wis 10 +0 +2          Cha 11 +0 +0
Skills Perception +4, Stealth +2
Immunities Cold
Senses Blindsight 10 ft., Darkvision 60 ft.;
Passive Perception 14
Languages Draconic
CR 2 (450 XP; PB +2)
Traits
Ice Walk. The dragon can move across and climb icy
surfaces without needing to make an ability check.
Additionally, Difficult Terrain composed of ice or snow
doesn't cost it extra movement.
Actions
Multiattack. The dragon makes two Rend attacks.
Rend. Melee Attack Roll: +4, reach 5 ft. Hit: 6 (1d8 + 2)
Slashing damage plus 2 (1d4) Cold damage.
Cold Breath (Recharge 5â€“6). Constitution Saving
Throw: DC 12, each creature in a 15-foot Cone. Failure:
22 (5d8) Cold damage. Success: Half damage.</t>
  </si>
  <si>
    <t>Young White Dragon
Large Dragon (Chromatic), Chaotic Evil
AC 17		                    Initiative +3 (13)
HP 123 (13d10 + 52)
Speed 40 ft., Burrow 20 ft., Fly 80 ft., Swim 40 ft.
MOD SAVE             MOD SAVE                MOD SAVE
Str 18 +4 +4         Dex 10 +0 +3          Con 18 +4 +4
Int 6 âˆ’2 2           Wis 11 +0 +3          Cha 12 +1 +1
Skills Perception +6, Stealth +3
Immunities Cold
Senses Blindsight 30 ft., Darkvision 120 ft.;
Passive Perception 16
Languages Common, Draconic
CR 6 (2,300 XP; PB +3)
Traits
Ice Walk. The dragon can move across and climb icy
surfaces without needing to make an ability check.
Additionally, Difficult Terrain composed of ice or snow
doesn't cost it extra movement.
Actions
Multiattack. The dragon makes three Rend attacks.
Rend. Melee Attack Roll: +7, reach 10 ft. Hit: 9 (2d4
+ 4) Slashing damage plus 2 (1d4) Cold damage.
Cold Breath (Recharge 5â€“6). Constitution Saving
Throw: DC 15, each creature in a 30-foot Cone. Failure:
40 (9d8) Cold damage. Success: Half damage.</t>
  </si>
  <si>
    <t>Adult White Dragon
Huge Dragon (Chromatic), Chaotic Evil
AC 18		                    Initiative +10 (20)
HP 200 (16d12 + 96)
Speed 40 ft., Burrow 30 ft., Fly 80 ft., Swim 40 ft.
MOD SAVE             MOD SAVE                MOD SAVE
Str 22 +6 +6         Dex 10 +0 +5         Con22 +6 +6
Int 8 âˆ’1 âˆ’1          Wis 12 +1 +6         Cha 12 +1 +1
Skills Perception +11, Stealth +5
Immunities Cold
Senses Blindsight 60 ft., Darkvision 120 ft.;
Passive Perception 21
Languages Common, Draconic
CR 13 (XP 10,000, or 11,500 in lair; PB +5)
Traits
Ice Walk. The dragon can move across and climb icy
surfaces without needing to make an ability check.
Additionally, Difficult Terrain composed of ice or snow
doesn't cost it extra movement.
Legendary Resistance (3/Day, or 4/Day in Lair). If
the dragon fails a saving throw, it can choose to suc-
ceed instead.
Actions
Multiattack. The dragon makes three Rend attacks.
Rend. Melee Attack Roll: +11, reach 10 ft. Hit: 13 (2d6
+ 6) Slashing damage plus 4 (1d8) Cold damage.
Cold Breath (Recharge 5â€“6). Constitution Saving
Throw: DC 19, each creature in a 60-foot Cone. Failure:
54 (12d8) Cold damage. Success: Half damage.
Legendary Actions
Legendary Action Uses: 3 (4 in Lair). Immediately after
another creature's turn, the dragon can expend a use to
take one of the following actions. The dragon regains all
expended uses at the start of each of its turns.
Freezing Burst. Constitution Saving Throw: DC 14,
each creature in a 30-foot-radius Sphere centered on
a point the dragon can see within 120 feet. Failure: 7
(2d6) Cold damage, and the target's Speed is 0 until
the end of the target's next turn. Failure or Success: The
dragon can't take this action again until the start of its
next turn.
Frightful Presence. The dragon casts Fear, requiring no
Material components and using Charisma as the spell-
casting ability (spell save DC 14). The dragon can't take
this action again until the start of its next turn.
Pounce. The dragon moves up to half its Speed, and it
makes one Rend attack.</t>
  </si>
  <si>
    <t>Ancient White Dragon
Gargantuan Dragon (Chromatic), Chaotic Evil
AC 20		                    Initiative +12 (22)
HP 333 (18d20 + 144)
Speed 40 ft., Burrow 40 ft., Fly 80 ft., Swim 40 ft.
MOD SAVE             MOD SAVE                MOD SAVE
Str 26 +8 +8         Dex 10 +0 +6         Con 26 +8 +8
Int 10 +0 +0         Wis 13 +1 +7         Cha 18 +4 +4
Skills Perception +13, Stealth +6
Immunities Cold
Senses Blindsight 60 ft., Darkvision 120 ft.;
Passive Perception 23
Languages Common, Draconic
CR 20 (XP 25,000, or 33,000 in lair; PB +6)
Traits
Ice Walk. The dragon can move across and climb icy
surfaces without needing to make an ability check.
Additionally, Difficult Terrain composed of ice or snow
doesn't cost it extra movement.
Legendary Resistance (4/Day, or 5/Day in Lair). If
the dragon fails a saving throw, it can choose to suc-
ceed instead.
Actions
Multiattack. The dragon makes three Rend attacks.
Rend. Melee Attack Roll: +14, reach 15 ft. Hit: 17 (2d8
+ 8) Slashing damage plus 7 (2d6) Cold damage.
Cold Breath (Recharge 5â€“6). Constitution Saving
Throw: DC 22, each creature in a 90-foot Cone. Fail-
ure: 63 (14d8) Cold damage. Success: Half damage.
Legendary Actions
Legendary Action Uses: 3 (4 in Lair). Immediately after
another creature's turn, the dragon can expend a use to
take one of the following actions. The dragon regains all
expended uses at the start of each of its turns.
Freezing Burst. Constitution Saving Throw: DC 20,
each creature in a 30-foot-radius Sphere centered on
a point the dragon can see within 120 feet. Failure: 14
(4d6) Cold damage, and the target's Speed is 0 until
the end of the target's next turn. Failure or Success: The
dragon can't take this action again until the start of its
next turn.
Frightful Presence. The dragon casts Fear, requiring no
Material components and using Charisma as the spell-
casting ability (spell save DC 18). The dragon can't take
this action again until the start of its next turn.
Pounce. The dragon moves up to half its Speed, and it
makes one Rend attack.</t>
  </si>
  <si>
    <t>Wight
Medium Undead, Neutral Evil
AC 14		                     Initiative +4 (14)
HP 82 (11d8 + 33)
Speed 30 ft.
MOD SAVE              MOD SAVE          MOD SAVE
Str 15 +2 +2          Dex 14 +2 +2         Con 16 +3 +3
Int 10 +0 +0          Wis 13 +1 +1         Cha 15 +2 +2
Skills Perception +3, Stealth +4
Resistances Necrotic
Immunities Poison; Exhaustion, Poisoned
Gear Studded Leather Armor
Senses Darkvision 60 ft.; Passive Perception 13
Languages Common plus one other language
CR 3 (XP 700; PB +2)
Traits
Sunlight Sensitivity. While in sunlight, the wight has
Disadvantage on ability checks and attack rolls.
Actions
Multiattack. The wight makes two attacks, using Ne-
crotic Sword or Necrotic Bow in any combination. It
can replace one attack with a use of Life Drain.
Necrotic Sword. Melee Attack Roll: +4, reach 5 ft.
Hit: 6 (1d8 + 2) Slashing damage plus 4 (1d8) Ne-
crotic damage.
Necrotic Bow. Ranged Attack Roll: +4, range
150/600 ft. Hit: 6 (1d8 + 2) Piercing damage plus 4
(1d8) Necrotic damage.
Life Drain. Constitution Saving Throw: DC 13, one
creature within 5 feet. Failure: 6 (1d8 + 2) Necrotic
damage, and the target's Hit Point maximum decreases
by an amount equal to the damage taken.
A Humanoid slain by this attack rises 24 hours later
as a Zombie under the wight's control, unless the Hu-
manoid is restored to life or its body is destroyed. The
wight can have no more than twelve zombies under its
control at a time.</t>
  </si>
  <si>
    <t>Will-o'-Wisp</t>
  </si>
  <si>
    <t>Will-o'-Wisp
Tiny Undead, Chaotic Evil
AC 19		                      Initiative +9 (19)
HP 27 (11d4)
Speed 5 ft., Fly 50 ft. (hover)
MOD SAVE            MOD SAVE            MOD SAVE
Str 1 âˆ’5 âˆ’5          Dex 28 +9 +9         Con 10 +0 +0
Int 13 +1 +1         Wis 14 +2 +2         Cha 11 +0 +0
Resistances Acid, Bludgeoning, Cold, Fire, Necrotic,
Piercing, Slashing
Immunities Lightning, Poison; Exhaustion, Grappled,
Paralyzed, Petrified, Poisoned, Prone, Restrained,
Unconscious
Senses Darkvision 120 ft.; Passive Perception 12
Languages Common plus one other language
CR 2 (XP 450; PB +2)
Traits
Ephemeral. The wisp can't wear or carry anything.
Illumination. The wisp sheds Bright Light in a 20-foot
radius and Dim Light for an additional 20 feet.
Incorporeal Movement. The wisp can move through
other creatures and objects as if they were Difficult
Terrain. It takes 5 (1d10) Force damage if it ends its turn
inside an object.
Actions
Shock. Melee Attack Roll: +4, reach 5 ft. Hit: 11 (2d8
+ 2) Lightning damage.
Bonus Actions
Consume Life. Constitution Saving Throw: DC 10, one
living creature the wisp can see within 5 feet that has 0
Hit Points. Failure: The target dies, and the wisp regains
10 (3d6) Hit Points.
Vanish. The wisp and its light have the Invisible condi-
tion until the wisp's Concentration ends on this effect,
which ends early immediately after the wisp makes an
attack roll or uses Consume Life.</t>
  </si>
  <si>
    <t>Winter Wolf
Large Monstrosity, Neutral Evil
AC 13		                    Initiative +1 (11)
HP 75 (10d10 + 20)
Speed 50 ft.
MOD SAVE            MOD SAVE            MOD SAVE
Str 18 +4 +4         Dex 13 +1 +1         Con 14 +2 +2
Int 7 âˆ’2 âˆ’2          Wis 12 +1 +1         Cha 8 âˆ’1 âˆ’1
Skills Perception +5, Stealth +5
Immunities Cold
Senses Passive Perception 15
Languages Common, Giant
CR 3 (XP 700; PB +2)
Traits
Pack Tactics. The wolf has Advantage on an attack roll
against a creature if at least one of the wolf's allies is
within 5 feet of the creature and the ally doesn't have
the Incapacitated condition.
Actions
Bite. Melee Attack Roll: +6, reach 5 ft. Hit: 11 (2d6 + 4)
Piercing damage. If the target is a Large or smaller crea-
ture, it has the Prone condition.
Cold Breath (Recharge 5â€“6). Constitution Saving
Throw: DC 12, each creature in a 15-foot Cone. Failure:
18 (4d8) Cold damage. Success: Half damage.</t>
  </si>
  <si>
    <t>Worg
Large Fey, Neutral Evil
AC 13		                      Initiative +1 (11)
HP 26 (4d10 + 4)
Speed 50 ft.
MOD SAVE              MOD SAVE          MOD SAVE
Str 16 +3 +3          Dex 13 +1 +1          Con 13 +1 +1
Int 7 âˆ’2 âˆ’2           Wis 11 +0 +0          Cha 8 âˆ’1 âˆ’1
Skills Perception +4
Senses Darkvision 60 ft.; Passive Perception 14
Languages Goblin, Worg
CR 1/2 (XP 100; PB +2)
Actions
Bite. Melee Attack Roll: +5, reach 5 ft. Hit: 7 (1d8 + 3)
Piercing damage, and the next attack roll made against
the target before the start of the worg's next turn has
Advantage.</t>
  </si>
  <si>
    <t>Wraith
Medium or Small Undead, Neutral Evil
AC 13		                      Initiative +3 (13)
HP 67 (9d8 + 27)
Speed 5 ft., Fly 60 ft. (hover)
MOD SAVE              MOD SAVE          MOD SAVE
Str 6 âˆ’2 âˆ’2           Dex 16 +3 +3          Con 16 +3 +3
Int 12 +1 +1          Wis 14 +2 +2          Cha 15 +2 +2
Resistances Acid, Bludgeoning, Cold, Fire, Piercing,
Slashing
Immunities Necrotic, Poison; Charmed, Exhaustion,
Grappled, Paralyzed, Petrified, Poisoned, Prone,
Restrained, Unconscious
Senses Darkvision 60 ft.; Passive Perception 12
Languages Common plus two other languages
CR 5 (XP 1,800; PB +3)
Traits
Incorporeal Movement. The wraith can move through
other creatures and objects as if they were Difficult
Terrain. It takes 5 (1d10) Force damage if it ends its turn
inside an object.
Sunlight Sensitivity. While in sunlight, the wraith has
Disadvantage on ability checks and attack rolls.
Actions
Life Drain. Melee Attack Roll: +6, reach 5 ft. Hit: 21
(4d8 + 3) Necrotic damage. If the target is a creature, its
Hit Point maximum decreases by an amount equal to
the damage taken.
Create Specter. The wraith targets a Humanoid corpse
within 10 feet of itself that has been dead for no longer
than 1 minute. The target's spirit rises as a Specter in
the space of its corpse or in the nearest unoccupied
space. The specter is under the wraith's control. The
wraith can have no more than seven specters under its
control at a time.</t>
  </si>
  <si>
    <t>Wyvern
Large Dragon, Unaligned
AC 14		                     Initiative +0 (10)
HP 127 (15d10 + 45)
Speed 30 ft., Fly 80 ft.
MOD SAVE             MOD SAVE            MOD SAVE
Str 19 +4 +4          Dex 10 +0 +0        Con 16 +3 +3
Int 5 âˆ’3 âˆ’3           Wis 12 +1 +1        Cha 6 âˆ’2 âˆ’2
Skills Perception +4
Senses Darkvision 120 ft.; Passive Perception 14
Languages None
CR 6 (XP 2,300; PB +3)
Actions
Multiattack. The wyvern makes one Bite attack and
one Sting attack.
Bite. Melee Attack Roll: +7, reach 5 ft. Hit: 13 (2d8 + 4)
Piercing damage.
Sting. Melee Attack Roll: +7, reach 10 ft. Hit: 11 (2d6
+ 4) Piercing damage plus 24 (7d6) Poison damage, and
the target has the Poisoned condition until the start of
the wyvern's next turn.</t>
  </si>
  <si>
    <t>Xorn
Medium Elemental, Neutral
AC 19		                     Initiative +0 (10)
HP 84 (8d8 + 48)
Speed 20 ft., Burrow 20 ft.
MOD SAVE            MOD SAVE              MOD SAVE
Str 17 +3 +3         Dex 10 +0 +0        Con 22 +6 +6
Int 11 +0 +0         Wis 10 +0 +0        Cha 11 +0 +0
Skills Perception +6, Stealth +6
Immunities Poison; Paralyzed, Petrified, Poisoned
Senses Darkvision 60 ft., Tremorsense 60 ft.;
Passive Perception 16
Languages Primordial (Terran)
CR 5 (XP 1,800; PB +3)
Traits
Earth Glide. The xorn can burrow through nonmagical,
unworked earth and stone. While doing so, the xorn
doesn't disturb the material it moves through.
Treasure Sense. The xorn can pinpoint the location of
precious metals and stones within 60 feet of itself.
Actions
Multiattack. The xorn makes one Bite attack and three
Claw attacks.
Bite. Melee Attack Roll: +6, reach 5 ft. Hit: 17 (4d6 + 3)
Piercing damage.
Claw. Melee Attack Roll: +6, reach 5 ft. Hit: 8 (1d10 +
3) Slashing damage.
Bonus Actions
Charge. The xorn moves up to its Speed or Burrow
Speed straight toward an enemy it can sense.</t>
  </si>
  <si>
    <t>Zombie
Medium Undead, Neutral Evil
AC 8 		                    Initiative âˆ’2 (8)
HP 15 (2d8 + 6)
Speed 20 ft.
MOD SAVE            MOD SAVE              MOD SAVE
Str 13 +1 +1         Dex 6 âˆ’2 âˆ’2         Con 16 +3 +3
Int 3 âˆ’4 âˆ’4          Wis 6 âˆ’2 +0         Cha 5 âˆ’3 âˆ’3
Immunities Poison; Exhaustion, Poisoned
Senses Darkvision 60 ft.; Passive Perception 8
Languages Understands Common plus one other language
but can't speak
CR 1/4 (XP 50; PB +2)
Traits
Undead Fortitude. If damage reduces the zombie to 0
Hit Points, it makes a Constitution saving throw (DC 5
plus the damage taken) unless the damage is Radiant or
from a Critical Hit. On a successful save, the zombie
drops to 1 Hit Point instead.
Actions
Slam. Melee Attack Roll: +3, reach 5 ft. Hit: 5 (1d8 + 1)
Bludgeoning damage.</t>
  </si>
  <si>
    <t>Understands Common and Giant but can't speak</t>
  </si>
  <si>
    <t>Ogre Zombie
Large Undead, Neutral Evil
AC 8		                       Initiative âˆ’2 (8)
HP 85 (9d10 + 36)
Speed 30 ft.
MOD SAVE              MOD SAVE          MOD SAVE
Str 19 +4 +4         Dex 6 âˆ’2 âˆ’2            Con 18 +4 +4
Int 3 âˆ’4 âˆ’4          Wis 6 âˆ’2 +0            Cha 5 âˆ’3 âˆ’3
Immunities Poison; Exhaustion, Poisoned
Senses Darkvision 60 ft.; Passive Perception 8
Languages Understands Common and Giant but can't
speak
CR 2 (XP 450; PB +2)
Traits
Undead Fortitude. If damage reduces the zombie to 0
Hit Points, it makes a Constitution saving throw (DC 5
plus the damage taken) unless the damage is Radiant or
from a Critical Hit. On a successful save, the zombie
drops to 1 Hit Point instead.
Actions
Slam. Melee Attack Roll: +6, reach 5 ft. Hit: 13 (2d8
+ 4) Bludgeoning damage.</t>
  </si>
  <si>
    <t>Baboon
Small Beast, Unaligned
AC 12 		                   Initiative +2 (12)
HP 3 (1d6)
Speed 30 ft., Climb 30 ft.
MOD SAVE             MOD SAVE            MOD SAVE
Str 8 âˆ’1 âˆ’1          Dex 14 +2 +2         Con 11 +0 +0
Int 4 âˆ’3 âˆ’3          Wis 12 +1 +1         Cha 6 âˆ’2 âˆ’2
Senses Passive Perception 11
Languages None
CR 0 (XP 10; PB +2)
Traits
Pack Tactics. The baboon has Advantage on an attack
roll against a creature if at least one of the baboon's
allies is within 5 feet of the creature and the ally doesn't
have the Incapacitated condition.
Actions
Bite. Melee Attack Roll: +1, reach 5 ft. Hit: 1 (1d4 âˆ’ 1)
Piercing damage.</t>
  </si>
  <si>
    <t>Blood Hawk
Small Beast, Unaligned
AC 12 		                    Initiative +2 (12)
HP 7 (2d6)
Speed 10 ft., Fly 60 ft.
MOD SAVE              MOD SAVE          MOD SAVE
Str 6 âˆ’2 âˆ’2           Dex 14 +2 +2         Con 10 +0 +0
Int 3 âˆ’4 âˆ’4           Wis 14 +2 +2         Cha 5 âˆ’3 âˆ’3
Skills Perception +6
Senses Passive Perception 16
Languages None
CR 1/8 (XP 25; PB +2)
Traits
Pack Tactics. The hawk has Advantage on an attack roll
against a creature if at least one of the hawk's allies is
within 5 feet of the creature and the ally doesn't have
the Incapacitated condition.
Actions
Beak. Melee Attack Roll: +4, reach 5 ft. Hit: 4 (1d4 + 2)
Piercing damage, or 6 (1d8 + 2) Piercing damage if the
target is Bloodied.</t>
  </si>
  <si>
    <t>Cat
Tiny Beast, Unaligned
AC 12 		                   Initiative +2 (12)
HP 2 (1d4)
Speed 40 ft., Climb 40 ft.
MOD SAVE             MOD SAVE           MOD SAVE
Str 3 âˆ’4 âˆ’4          Dex 15 +2 +4         Con 10 +0 +0
Int 3 âˆ’4 âˆ’4          Wis 12 +1 +1         Cha 7 âˆ’2 âˆ’2
Skills Perception +3, Stealth +4
Senses Darkvision 60 ft.; Passive Perception 13
Languages None
CR 0 (XP 10; PB +2)
Traits
Jumper. The cat's jump distance is determined using its
Dexterity rather than its Strength.
Actions
Scratch. Melee Attack Roll: +4, reach 5 ft. Hit: 1 Slash-
ing damage.</t>
  </si>
  <si>
    <t>Deer
Medium Beast, Unaligned
AC 13 		                   Initiative +3 (13)
HP 4 (1d8)
Speed 50 ft.
MOD SAVE            MOD SAVE            MOD SAVE
Str 11 +0 +0         Dex 16 +3 +3         Con 11 +0 +0
Int 2 âˆ’4 âˆ’4          Wis 14 +2 +2         Cha 5 âˆ’3 âˆ’3
Skills Perception +4
Senses Darkvision 60 ft.; Passive Perception 14
Languages None
CR 0 (XP 10; PB +2)
Traits
Agile. The deer doesn't provoke an Opportunity Attack
when it moves out of an enemy's reach.
Actions
Ram. Melee Attack Roll: +2, reach 5 ft. Hit: 2 (1d4)
Bludgeoning damage.</t>
  </si>
  <si>
    <t>Dire Wolf
Large Beast, Unaligned
AC 14 		                   Initiative +2 (12)
HP 22 (3d10 + 6)
Speed 50 ft.
MOD SAVE            MOD SAVE            MOD SAVE
Str 17 +3 +3         Dex 15 +2 +2         Con 15 +2 +2
Int 3 âˆ’4 âˆ’4          Wis 12 +1 +1         Cha 7 âˆ’2 âˆ’2
Skills Perception +5, Stealth +4
Senses Darkvision 60 ft.; Passive Perception 15
Languages None
CR 1 (XP 200; PB +2)
Traits
Pack Tactics. The wolf has Advantage on an attack roll
against a creature if at least one of the wolf's allies is
within 5 feet of the creature and the ally doesn't have
the Incapacitated condition.
Actions
Bite. Melee Attack Roll: +5, reach 5 ft. Hit: 8 (1d10 + 3)
Piercing damage. If the target is a Large or smaller crea-
ture, it has the Prone condition.</t>
  </si>
  <si>
    <t>Flying Snake
Tiny Monstrosity, Unaligned
AC 14 		                     Initiative +2 (12)
HP 5 (2d4)
Speed 30 ft., Fly 60 ft., Swim 30 ft.
MOD SAVE              MOD SAVE          MOD SAVE
Str 4 âˆ’3 âˆ’3           Dex 15 +2 +2          Con 11 +0 +0
Int 2 âˆ’4 âˆ’4           Wis 12 +1 +1          Cha 5 âˆ’3 âˆ’3
Senses Blindsight 10 ft.; Passive Perception 11
Languages None
CR 1/8 (XP 25; PB +2)
Traits
Flyby. The snake doesn't provoke an Opportunity At-
tack when it flies out of an enemy's reach.
Actions
Bite. Melee Attack Roll: +4, reach 5 ft. Hit: 1 Piercing
damage plus 5 (2d4) Poison damage.</t>
  </si>
  <si>
    <t>Frog
Tiny Beast, Unaligned
AC 11 		                  Initiative +1 (11)
HP 1 (1d4 âˆ’ 1)
Speed 20 ft., Swim 20 ft.
MOD SAVE              MOD SAVE          MOD SAVE
Str 1 âˆ’5 âˆ’5           Dex 13 +1 +1          Con 8 âˆ’1 âˆ’1
Int 1 âˆ’5 âˆ’5           Wis 8 âˆ’1 âˆ’1           Cha 3 âˆ’4 âˆ’4
Skills Perception +1, Stealth +3
Senses Darkvision 30 ft.; Passive Perception 11
Languages None
CR 0 (XP 10; PB +2)
Traits
Amphibious. The frog can breathe air and water.
Standing Leap. The frog's Long Jump is up to 10 feet
and its High Jump is up to 5 feet with or without a run-
ning start.
Actions
Bite. Melee Attack Roll: +3, reach 5 ft. Hit: 1 Piercing
damage.</t>
  </si>
  <si>
    <t>Giant Centipede
Small Beast, Unaligned
AC 14 		                   Initiative +2 (12)
HP 9 (2d6 + 2)
Speed 30 ft., Climb 30 ft.
MOD SAVE            MOD SAVE            MOD SAVE
Str 5     âˆ’3 âˆ’3      Dex 14 +2 +2        Con 12 +1 +1
Int 1     âˆ’5 âˆ’5      Wis 7 âˆ’2 âˆ’2         Cha 3 âˆ’4 âˆ’4
Senses Blindsight 30 ft.; Passive Perception 8
Languages None
CR 1/4 (XP 50; PB +2)
Actions
Bite. Melee Attack Roll: +4, reach 5 ft. Hit: 4 (1d4 + 2)
Piercing damage, and the target has the Poisoned con-
dition until the start of the centipede's next turn.</t>
  </si>
  <si>
    <t>Giant Crocodile
Huge Beast, Unaligned
AC 14 		                  Initiative âˆ’1 (9)
HP 85 (9d12 + 27)
Speed 30 ft., Swim 50 ft.
MOD SAVE              MOD SAVE         MOD SAVE
Str 21 +5 +5          Dex 9 âˆ’1 âˆ’1          Con 17 +3 +3
Int 2 âˆ’4 âˆ’4           Wis 10 +0 +0         Cha 7 âˆ’2 âˆ’2
Skills Stealth +5
Senses Passive Perception 10
Languages None
CR 5 (XP 1,800; PB +3)
Traits
Hold Breath. The crocodile can hold its breath
for 1 hour.
Actions
Multiattack. The crocodile makes one Bite attack and
one Tail attack.
Bite. Melee Attack Roll: +8, reach 5 ft. Hit: 21 (3d10
+ 5) Piercing damage. If the target is a Large or smaller
creature, it has the Grappled condition (escape DC 15).
While Grappled, the target has the Restrained condition
and can't be targeted by the crocodile's Tail.
Tail. Melee Attack Roll: +8, reach 10 ft. Hit: 18 (3d8
+ 5) Bludgeoning damage. If the target is a Large or
smaller creature, it has the Prone condition.</t>
  </si>
  <si>
    <t>Celestial; understands Common and Primordial (Auran) but can't speak them</t>
  </si>
  <si>
    <t>Giant Eagle
Large Celestial, Neutral Good
AC 13		                    Initiative +3 (13)
HP 26 (4d10 + 4)
Speed 10 ft., Fly 80 ft.
MOD SAVE              MOD SAVE         MOD SAVE
Str 16 +3 +3          Dex 17 +3 +3         Con 13 +1 +1
Int 8 âˆ’1 âˆ’1           Wis 14 +2 +2         Cha 10 +0 +0
Skills Perception +6
Resistances Necrotic, Radiant
Senses Passive Perception 16
Languages Celestial; understands Common and Primordial
(Auran) but can't speak them
CR 1 (XP 200; PB +2)
Actions
Multiattack. The eagle makes two Rend attacks.
Rend. Melee Attack Roll: +5, reach 5 ft. Hit: 5 (1d4 + 3)
Slashing damage plus 3 (1d6) Radiant damage.</t>
  </si>
  <si>
    <t>Celestial; understands Common, Elvish, and Sylvan but can't speak them</t>
  </si>
  <si>
    <t>Giant Elk
Huge Celestial, Neutral Good
AC 14		                    Initiative +6 (16)
HP 42 (5d12 + 10)
Speed 60 ft.
MOD SAVE             MOD SAVE            MOD SAVE
Str 19 +4 +6         Dex 18 +4 +6         Con 14 +2 +2
Int 7 âˆ’2 âˆ’2          Wis 14 +2 +2         Cha 10 +0 +0
Skills Perception +4
Resistances Necrotic, Radiant
Senses Darkvision 90 ft.; Passive Perception 14
Languages Celestial; understands Common, Elvish, and
Sylvan but can't speak them
CR 2 (XP 450; PB +2)
Actions
Ram. Melee Attack Roll: +6, reach 10 ft. Hit: 11 (2d6
+ 4) Bludgeoning damage plus 5 (2d4) Radiant damage.
If the target is a Huge or smaller creature and the elk
moved 20+ feet straight toward it immediately before
the hit, the target takes an extra 5 (2d4) Bludgeoning
damage and has the Prone condition.</t>
  </si>
  <si>
    <t>Giant Frog
Medium Beast, Unaligned
AC 11 		                  Initiative +1 (11)
HP 18 (4d8)
Speed 30 ft., Swim 30 ft.
MOD SAVE             MOD SAVE           MOD SAVE
Str 12 +1 +1         Dex 13 +1 +1         Con 11 +0 +0
Int 2 âˆ’4 âˆ’4          Wis 10 +0 +0         Cha 3 âˆ’4 âˆ’4
Skills Perception +2, Stealth +4
Senses Darkvision 30 ft.; Passive Perception 12
Languages None
CR 1/4 (XP 50; PB +2)
Traits
Amphibious. The frog can breathe air and water.
Standing Leap. The frog's Long Jump is up to 20 feet
and its High Jump is up to 10 feet with or without a
running start.
Actions
Bite. Melee Attack Roll: +3, reach 5 ft. Hit: 5 (1d6 + 2)
Piercing damage. If the target is a Medium or smaller
creature, it has the Grappled condition (escape DC 11).
Swallow. The frog swallows a Small or smaller target it
is grappling. While swallowed, the target isn't Grappled
but has the Blinded and Restrained conditions, and it
has Total Cover against attacks and other effects outside
the frog. While swallowing the target, the frog can't use
Bite, and if the frog dies, the swallowed target is no lon-
ger Restrained and can escape from the corpse using 5
feet of movement, exiting with the Prone condition.
At the end of the frog's next turn, the swallowed target
takes 5 (2d4) Acid damage. If that damage doesn't kill it,
the frog disgorges it, causing it to exit Prone.</t>
  </si>
  <si>
    <t>Giant Owl
Large Celestial, Neutral
AC 12		                    Initiative +2 (12)
HP 19 (3d10 + 3)
Speed 5 ft., Fly 60 ft.
MOD SAVE            MOD SAVE            MOD SAVE
Str 13 +1 +1         Dex 15 +2 +2         Con 12 +1 +1
Int 10 +0 +0         Wis 14 +2 +4         Cha 10 +0 +0
Skills Perception +6, Stealth +6
Resistances Necrotic, Radiant
Senses Darkvision 120 ft.; Passive Perception 16
Languages Celestial; understands Common, Elvish, and
Sylvan but can't speak them
CR 1/4 (XP 50; PB +2)
Traits
Flyby. The owl doesn't provoke an Opportunity Attack
when it flies out of an enemy's reach.
Actions
Talons. Melee Attack Roll: +4, reach 5 ft. Hit: 7 (1d10
+ 2) Slashing damage.
Spellcasting. The owl casts one of the following spells,
requiring no spell components and using Wisdom as
the spellcasting ability:
At Will: Detect Evil and Good, Detect Magic
1/Day: Clairvoyance</t>
  </si>
  <si>
    <t>Giant Rat
Small Beast, Unaligned
AC 13 		                   Initiative +3 (13)
HP 7 (2d6)
Speed 30 ft., Climb 30 ft.
MOD SAVE             MOD SAVE           MOD SAVE
Str 7 âˆ’2 âˆ’2          Dex 16 +3 +5         Con 11 +0 +0
Int 2 âˆ’4 âˆ’4          Wis 10 +0 +0         Cha 4 âˆ’3 âˆ’3
Skills Perception +2
Senses Darkvision 60 ft.; Passive Perception 12
Languages None
CR 1/8 (XP 25; PB +2)
Traits
Pack Tactics. The rat has Advantage on an attack roll
against a creature if at least one of the rat's allies is
within 5 feet of the creature and the ally doesn't have
the Incapacitated condition.
Actions
Bite. Melee Attack Roll: +5, reach 5 feet. Hit: 5 (1d4
+ 3) Piercing damage.</t>
  </si>
  <si>
    <t>Giant Shark
Huge Beast, Unaligned
AC 13 		                   Initiative +3 (13)
HP 92 (8d12 + 40)
Speed 5 ft., Swim 60 ft.
MOD SAVE             MOD SAVE           MOD SAVE
Str 23 +6 +6         Dex 11 +0 +0         Con 21 +5 +5
Int 1 âˆ’5 âˆ’5          Wis 10 +0 +0         Cha 5 âˆ’3 âˆ’3
Skills Perception +3
Senses Blindsight 60 ft.; Passive Perception 13
Languages None
CR 5 (XP 1,800; PB +3)
Traits
Water Breathing. The shark can breathe only underwater.
Actions
Multiattack. The shark makes two Bite attacks.
Bite. Melee Attack Roll: +9 (with Advantage if the target
doesn't have all its Hit Points), reach 5 ft. Hit: 22 (3d10
+ 6) Piercing damage.</t>
  </si>
  <si>
    <t>Giant Toad
Large Beast, Unaligned
AC 11 		                  Initiative +1 (11)
HP 39 (6d10 + 6)
Speed 30 ft., Swim 30 ft.
MOD SAVE            MOD SAVE            MOD SAVE
Str 15 +2 +2         Dex 13 +1 +1        Con 13 +1 +1
Int 2 âˆ’4 âˆ’4          Wis 10 +0 +0        Cha 3 âˆ’4 âˆ’4
Senses Darkvision 60 ft.; Passive Perception 10
Languages None
CR 1 (XP 200; PB +2)
Traits
Amphibious. The toad can breathe air and water.
Standing Leap. The toad's Long Jump is up to 20 feet
and its High Jump is up to 10 feet with or without a
running start.
Actions
Bite. Melee Attack Roll: +4, reach 5 ft. Hit: 5 (1d6 + 2)
Piercing damage plus 5 (2d4) Poison damage. If the tar-
get is a Medium or smaller creature, it has the Grappled
condition (escape DC 12).
Swallow. The toad swallows a Medium or smaller target
it is grappling. While swallowed, the target isn't Grap-
pled but has the Blinded and Restrained conditions,
and it has Total Cover against attacks and other effects
outside the toad. In addition, the target takes 10 (3d6)
Acid damage at the end of each of the toad's turns. The
toad can have only one target swallowed at a time, and
it can't use Bite while it has a swallowed target. If the
toad dies, a swallowed creature is no longer Restrained
and can escape from the corpse using 5 feet of move-
ment, exiting with the Prone condition.</t>
  </si>
  <si>
    <t>Giant Vulture
Large Monstrosity, Neutral Evil
AC 10		                     Initiative +0 (10)
HP 25 (3d10 + 9)
Speed 10 ft., Fly 60 ft.
MOD SAVE             MOD SAVE             MOD SAVE
Str 15 +2 +2          Dex 10 +0 +0         Con 16 +3 +3
Int 6 âˆ’2 âˆ’2           Wis 12 +1 +1         Cha 7 âˆ’2 âˆ’2
Skills Perception +3
Resistances Necrotic
Senses Darkvision 60 ft.; Passive Perception 13
Languages Understands Common but can't speak
CR 1 (XP 200; PB +2)
Traits
Pack Tactics. The vulture has Advantage on an attack
roll against a creature if at least one of the vulture's al-
lies is within 5 feet of the creature and the ally doesn't
have the Incapacitated condition.
Actions
Gouge. Melee Attack Roll: +4, reach 5 ft. Hit: 9 (2d6
+ 2) Piercing damage, and the target has the Poisoned
condition until the end of its next turn.</t>
  </si>
  <si>
    <t>Giant Wasp
Medium Beast, Unaligned
AC 13 		                    Initiative +2 (12)
HP 22 (5d8)
Speed 10 ft., Fly 50 ft.
MOD SAVE
Str 10 +0 +0
MOD SAVE
Dex 14 +2 +2
MOD SAVE
Con 10 +0 +0
Int 1 âˆ’5 âˆ’5          Wis 10 +0 +0          Cha 3 âˆ’4 âˆ’4
Senses Passive Perception 10
Languages None
CR 1/2 (XP 100; PB +2)
Traits
Flyby. The wasp doesn't provoke an Opportunity At-
tack when it flies out of an enemy's reach.
Actions
Sting. Melee Attack Roll: +4, reach 5 ft. Hit: 5 (1d6 + 2)
Piercing damage plus 5 (2d4) Poison damage.</t>
  </si>
  <si>
    <t>Hunter Shark
Large Beast, Unaligned
AC 12 		                    Initiative +2 (12)
HP 45 (6d10 + 12)
Speed 5 ft., Swim 40 ft.
MOD SAVE             MOD SAVE             MOD SAVE
Str 18 +4 +4         Dex 14 +2 +2          Con 15 +2 +2
Int 1 âˆ’5 âˆ’5          Wis 10 +0 +0          Cha 4 âˆ’3 âˆ’3
Skills Perception +2
Senses Blindsight 60 ft.; Passive Perception 12
Languages None
CR 2 (XP 450; PB +2)
Traits
Water Breathing. The shark can breathe only underwater.
Actions
Bite. Melee Attack Roll: +6 (with Advantage if the tar-
get doesn't have all its Hit Points), reach 5 ft. Hit: 14
(3d6 + 4) Piercing damage.</t>
  </si>
  <si>
    <t>Hyena
Medium Beast, Unaligned
AC 11 		                    Initiative +1 (11)
HP 5 (1d8 + 1)
Speed 50 ft.
MOD SAVE             MOD SAVE             MOD SAVE
Str 11 +0 +0         Dex 13 +1 +1          Con 12 +1 +1
Int 2 âˆ’4 âˆ’4          Wis 12 +1 +1          Cha 5 âˆ’3 âˆ’3
Skills Perception +3
Senses Darkvision 60 ft.; Passive Perception 13
Languages None
CR 0 (XP 10; PB +2)
Traits
Pack Tactics. The hyena has Advantage on an attack
roll against a creature if at least one of the hyena's allies
is within 5 feet of the creature and the ally doesn't have
the Incapacitated condition.
Actions
Bite. Melee Attack Roll: +2, reach 5 ft. Hit: 3 (1d6)
Piercing damage.</t>
  </si>
  <si>
    <t>Lion
Large Beast, Unaligned
AC 12 		                   Initiative +2 (12)
HP 22 (4d10)
Speed 50 ft.
MOD SAVE            MOD SAVE             MOD SAVE
Str 17 +3 +3         Dex 15 +2 +2         Con 11 +0 +0
Int 3 âˆ’4 âˆ’4          Wis 12 +1 +1         Cha 8 âˆ’1 âˆ’1
Skills Perception +3, Stealth +4
Senses Darkvision 60 ft.; Passive Perception 13
Languages None
CR 1 (XP 200; PB +2)
Traits
Pack Tactics. The lion has Advantage on an attack roll
against a creature if at least one of the lion's allies is
within 5 feet of the creature and the ally doesn't have
the Incapacitated condition.
Running Leap. With a 10-foot running start, the lion
can Long Jump up to 25 feet.
Actions
Multiattack. The lion makes two Rend attacks. It can
replace one attack with a use of Roar.
Rend. Melee Attack Roll: +5, reach 5 ft. Hit: 7 (1d8 + 3)
Slashing damage.
Roar. Wisdom Saving Throw: DC 11, one creature
within 15 feet. Failure: The target has the Frightened
condition until the start of the lion's next turn.</t>
  </si>
  <si>
    <t>Owl
Tiny Beast, Unaligned
AC 11 		                   Initiative +1 (11)
HP 1 (1d4 âˆ’ 1)
Speed 5 ft., Fly 60 ft.
MOD SAVE             MOD SAVE            MOD SAVE
Str 3 âˆ’4 âˆ’4          Dex 13 +1 +1         Con 8 âˆ’1 âˆ’1
Int 2 âˆ’4 âˆ’4          Wis 12 +1 +1         Cha 7 âˆ’2 âˆ’2
Skills Perception +5, Stealth +5
Senses Darkvision 120 ft.; Passive Perception 15
Languages None
CR 0 (XP 10; PB +2)
Traits
Flyby. The owl doesn't provoke an Opportunity Attack
when it flies out of an enemy's reach.
Actions
Talons. Melee Attack Roll: +3, reach 5 ft. Hit: 1 Slash-
ing damage.</t>
  </si>
  <si>
    <t>Piranha
Tiny Beast, Unaligned
AC 13 		                   Initiative +3 (13)
HP 1 (1d4 âˆ’ 1)
Speed 5 ft., Swim 40 ft.
MOD SAVE            MOD SAVE            MOD SAVE
Str 2 âˆ’4 âˆ’4          Dex 16 +3 +3         Con 9 âˆ’1 âˆ’1
Int 1 âˆ’5 âˆ’5          Wis 7 âˆ’2 âˆ’2          Cha 2 âˆ’4 âˆ’4
Senses Darkvision 60 ft.; Passive Perception 8
Languages None
CR 0 (XP 10; PB +2)
Traits
Water Breathing. The piranha can breathe only
underwater.
Actions
Bite. Melee Attack Roll: +5 (with Advantage if the target
doesn't have all its Hit Points), reach 5 ft. Hit: 1 Pierc-
ing damage.</t>
  </si>
  <si>
    <t>Pteranodon
Medium Beast (Dinosaur), Unaligned
AC 13 		                   Initiative +2 (12)
HP 13 (3d8)
Speed 10 ft., Fly 60 ft.
MOD SAVE             MOD SAVE           MOD SAVE
Str 12 +1 +1          Dex 15 +2 +2        Con 10 +0 +0
Int 2 âˆ’4 âˆ’4           Wis 9 âˆ’1 âˆ’1         Cha 5 âˆ’3 âˆ’3
Skills Perception +1
Senses Passive Perception 11
Languages None
CR 1/4 (XP 50; PB +2)
Traits
Flyby. The pteranodon doesn't provoke an Opportunity
Attack when it flies out of an enemy's reach.
Actions
Bite. Melee Attack Roll: +4, reach 5 ft. Hit: 6 (1d8 + 2)
Piercing damage.</t>
  </si>
  <si>
    <t>Rat
Tiny Beast, Unaligned
AC 10 		                   Initiative +0 (10)
HP 1 (1d4 âˆ’ 1)
Speed 20 ft., Climb 20 ft.
MOD SAVE             MOD SAVE           MOD SAVE
Str 2 âˆ’4 âˆ’4           Dex 11 +0 +0        Con 9 âˆ’1 âˆ’1
Int 2 âˆ’4 âˆ’4           Wis 10 +0 +0        Cha 4 âˆ’3 âˆ’3
Skills Perception +2
Senses Darkvision 30 ft.; Passive Perception 12
Languages None
CR 0 (XP 10; PB +2)
Traits
Agile. The rat doesn't provoke an Opportunity Attack
when it moves out of an enemy's reach.
Actions
Bite. Melee Attack Roll: +2, reach 5 ft. Hit: 1 Piercing
damage.</t>
  </si>
  <si>
    <t>Reef Shark
Medium Beast, Unaligned
AC 12 		                   Initiative +2 (12)
HP 22 (4d8 + 4)
Speed 5 ft., Swim 30 ft.
MOD SAVE             MOD SAVE           MOD SAVE
Str 14 +2 +2         Dex 15 +2 +2         Con 13 +1 +1
Int 1 âˆ’5 âˆ’5          Wis 10 +0 +0         Cha 4 âˆ’3 âˆ’3
Skills Perception +2
Senses Blindsight 30 ft.; Passive Perception 12
Languages None
CR 1/2 (XP 100; PB +2)
Traits
Pack Tactics. The shark has Advantage on an attack roll
against a creature if at least one of the shark's allies is
within 5 feet of the creature and the ally doesn't have
the Incapacitated condition.
Water Breathing. The shark can breathe only underwater.
Actions
Bite. Melee Attack Roll: +4, reach 5 ft. Hit: 7 (2d4 + 2)
Piercing damage.</t>
  </si>
  <si>
    <t>Swarm of Bats
Large Swarm of Tiny Beasts, Unaligned
AC 12		                    Initiative +2 (12)
HP 11 (2d10)
Speed 5 ft., Fly 30 ft.
MOD SAVE
Str 5 âˆ’3 âˆ’3
MOD SAVE
Dex 15 +2 +2
MOD SAVE
Con 10 +0 +0
Int 2 âˆ’4 âˆ’4          Wis 12 +1 +1        Cha 4 âˆ’3 âˆ’3
Resistances Bludgeoning, Piercing, Slashing
Immunities Charmed, Frightened, Grappled, Paralyzed,
Petrified, Prone, Restrained, Stunned
Senses Blindsight 60 ft.; Passive Perception 11
Languages None
CR 1/4 (XP 50; PB +2)
Traits
Swarm. The swarm can occupy another creature's
space and vice versa, and the swarm can move through
any opening large enough for a Tiny bat. The swarm
can't regain Hit Points or gain Temporary Hit Points.
Actions
Bites. Melee Attack Roll: +4, reach 5 ft. Hit: 5 (2d4)
Piercing damage, or 2 (1d4) Piercing damage if the
swarm is Bloodied.</t>
  </si>
  <si>
    <t>Speed 20 ft., Climb or Fly 20 ft. (GM's choice)</t>
  </si>
  <si>
    <t>Swarm of Insects
Medium Swarm of Tiny Beasts, Unaligned
AC 11                Initiative +1 (11)
HP 19 (3d8 + 6)
Speed 20 ft., Climb or Fly 20 ft. (GM's choice)
MOD SAVE            MOD SAVE            MOD SAVE
Str 3 âˆ’4 âˆ’4          Dex 13 +1 +1        Con 14 +2 +2
Int 1 âˆ’5 âˆ’5          Wis 7 âˆ’2 âˆ’2         Cha 1 âˆ’5 âˆ’5
Resistances Bludgeoning, Piercing, Slashing
Immunities Charmed, Frightened, Grappled, Paralyzed,
Petrified, Prone, Restrained, Stunned
Senses Blindsight 30 ft.; Passive Perception 8
Languages None
CR 1/2 (XP 100; PB +2)
Traits
Spider Climb. If the swarm has a Climb Speed, the
swarm can climb difficult surfaces, including along ceil-
ings, without needing to make an ability check.
Swarm. The swarm can occupy another creature's
space and vice versa, and the swarm can move through
any opening large enough for a Tiny insect. The swarm
can't regain Hit Points or gain Temporary Hit Points.
Actions
Bites. Melee Attack Roll: +3, reach 5 ft. Hit: 6 (2d4 + 1)
Poison damage, or 3 (1d4 + 1) Poison damage if the
swarm is Bloodied.</t>
  </si>
  <si>
    <t>Swarm of Piranhas
Medium Swarm of Tiny Beasts, Unaligned
AC 13		                    Initiative +3 (13)
HP 28 (8d8 âˆ’ 8)
Speed 5 ft., Swim 40 ft.
MOD SAVE            MOD SAVE            MOD SAVE
Str 13 +1 +1         Dex 16 +3 +3         Con 9 âˆ’1 âˆ’1
Int 1 âˆ’5 âˆ’5          Wis 7 âˆ’2 âˆ’2          Cha 2 âˆ’4 âˆ’4
Resistances Bludgeoning, Piercing, Slashing
Immunities Charmed, Frightened, Grappled, Paralyzed,
Petrified, Prone, Restrained, Stunned
Senses Darkvision 60 ft.; Passive Perception 8
Languages None
CR 1 (XP 200; PB +2)
Traits
Swarm. The swarm can occupy another creature's
space and vice versa, and the swarm can move
through any opening large enough for a Tiny piranha.
The swarm can't regain Hit Points or gain Temporary
Hit Points.
Water Breathing. The swarm can breathe only
underwater.
Actions
Bites. Melee Attack Roll: +5 (with Advantage if the
target doesn't have all its Hit Points), reach 5 ft. Hit: 8
(2d4 + 3) Piercing damage, or 5 (1d4 + 3) Piercing dam-
age if the swarm is Bloodied.</t>
  </si>
  <si>
    <t>Swarm of Rats
Medium Swarm of Tiny Beasts, Unaligned
AC 10		                    Initiative +0 (10)
HP 14 (4d8 âˆ’ 4)
Speed 30 ft., Climb 30 ft.
MOD SAVE            MOD SAVE            MOD SAVE
Str 9 âˆ’1 âˆ’1          Dex 11 +0 +2         Con 9 âˆ’1 âˆ’1
Int 2 âˆ’4 âˆ’4          Wis 10 +0 +0         Cha 3 âˆ’4 âˆ’4
Resistances Bludgeoning, Piercing, Slashing
Immunities Charmed, Frightened, Grappled, Paralyzed,
Petrified, Prone, Restrained, Stunned
Senses Darkvision 30 ft.; Passive Perception 10
Languages None
CR 1/4 (XP 50; PB +2)
Traits
Swarm. The swarm can occupy another creature's
space and vice versa, and the swarm can move through
any opening large enough for a Tiny rat. The swarm
can't regain Hit Points or gain Temporary Hit Points.
Actions
Bites. Melee Attack Roll: +2, reach 5 ft. Hit: 5 (2d4)
Piercing damage, or 2 (1d4) Piercing damage if the
swarm is Bloodied.</t>
  </si>
  <si>
    <t>Swarm of Ravens
Medium Swarm of Tiny Beasts, Unaligned
AC 12		                    Initiative +2 (12)
HP 11 (2d8 + 2)
Speed 10 ft., Fly 50 ft.
MOD SAVE            MOD SAVE           MOD SAVE
Str 6 âˆ’2 âˆ’2           Dex 14 +2 +2        Con 12 +1 +1
Int 5 âˆ’3 âˆ’3           Wis 12 +1 +1        Cha 6 âˆ’2 âˆ’2
Skills Perception +5
Resistances Bludgeoning, Piercing, Slashing
Immunities Charmed, Frightened, Grappled, Paralyzed,
Petrified, Prone, Restrained, Stunned
Senses Passive Perception 15
Languages None
CR 1/4 (XP 50; PB +2)
Traits
Swarm. The swarm can occupy another creature's
space and vice versa, and the swarm can move through
any opening large enough for a Tiny raven. The swarm
can't regain Hit Points or gain Temporary Hit Points.
Actions
Beaks. Melee Attack Roll: +4, reach 5 ft. Hit: 5 (1d6
+ 2) Piercing damage, or 2 (1d4) Piercing damage if the
swarm is Bloodied.
Cacophony (Recharge 6). Wisdom Saving Throw: DC
10, one creature in the swarm's space. Failure: The
target has the Deafened condition until the start of the
swarm's next turn. While Deafened, the target also has
Disadvantage on ability checks and attack rolls.</t>
  </si>
  <si>
    <t>Swarm of Venomous Snakes
Medium Swarm of Tiny Beasts, Unaligned
AC 14		                   Initiative +4 (14)
HP 36 (8d8)
Speed 30 ft., Swim 30 ft.
MOD SAVE            MOD SAVE           MOD SAVE
Str 8 âˆ’1 âˆ’1           Dex 18 +4 +4        Con 11 +0 +0
Int 1 âˆ’5 âˆ’5           Wis 10 +0 +0        Cha 3 âˆ’4 âˆ’4
Resistances Bludgeoning, Piercing, Slashing
Immunities Charmed, Frightened, Grappled, Paralyzed,
Petrified, Prone, Restrained, Stunned
Senses Blindsight 10 ft.; Passive Perception 10
Languages None
CR 2 (XP 450; PB +2)
Traits
Swarm. The swarm can occupy another creature's
space and vice versa, and the swarm can move through
any opening large enough for a Tiny snake. The swarm
can't regain Hit Points or gain Temporary Hit Points.
Actions
Bites. Melee Attack Roll: +6, reach 5 ft. Hit: 8 (1d8 + 4)
Piercing damageâ€”or 6 (1d4 + 4) Piercing damage if the
swarm is Bloodiedâ€”plus 10 (3d6) Poison damage.</t>
  </si>
  <si>
    <t>Tyrannosaurus Rex
Huge Beast (Dinosaur), Unaligned
AC 13		                    Initiative +3 (13)
HP 136 (13d12 + 52)
Speed 50 ft.
MOD SAVE             MOD SAVE           MOD SAVE
Str 25 +7 +10 Dex 10 +0 +0                Con 19 +4 +4
Int 2 âˆ’4 âˆ’4 Wis 12 +1 +4                  Cha 9 âˆ’1 âˆ’1
Skills Perception +4
Senses Passive Perception 14
Languages None
CR 8 (XP 3,900; PB +3)
Actions
Multiattack. The tyrannosaurus makes one Bite attack
and one Tail attack.
Bite. Melee Attack Roll: +10, reach 10 ft. Hit: 33 (4d12
+ 7) Piercing damage. If the target is a Large or smaller
creature, it has the Grappled condition (escape DC 17).
While Grappled, the target has the Restrained condition
and can't be targeted by the tyrannosaurus's Tail.
Tail. Melee Attack Roll: +10, reach 15 ft. Hit: 25 (4d8
+ 7) Bludgeoning damage. If the target is a Huge or
smaller creature, it has the Prone condition.</t>
  </si>
  <si>
    <t>Vulture
Medium Beast, Unaligned
AC 10 		                   Initiative +0 (10)
HP 5 (1d8 + 1)
Speed 10 ft., Fly 50 ft.
MOD SAVE
Str 7 âˆ’2 âˆ’2
MOD SAVE
Dex 10 +0 +0
MOD SAVE
Con 13 +1 +1
Int 2 âˆ’4 âˆ’4          Wis 12 +1 +1          Cha 4 âˆ’3 âˆ’3
Skills Perception +3
Senses Passive Perception 13
Languages None
CR 0 (XP 10; PB +2)
Traits
Pack Tactics. The vulture has Advantage on an attack
roll against a creature if at least one of the vulture's al-
lies is within 5 feet of the creature and the ally doesn't
have the Incapacitated condition.
Actions
Beak. Melee Attack Roll: +2, reach 5 ft. Hit: 2 (1d4)
Piercing damage.</t>
  </si>
  <si>
    <t>Wolf
Medium Beast, Unaligned
AC 12 		                   Initiative +2 (12)
HP 11 (2d8 + 2)
Speed 40 ft.
MOD SAVE             MOD SAVE            MOD SAVE
Str 14 +2 +2         Dex 15 +2 +2         Con 12 +1 +1
Int 3 âˆ’4 âˆ’4          Wis 12 +1 +1         Cha 6 âˆ’2 âˆ’2
Skills Perception +5, Stealth +4
Senses Darkvision 60 ft.; Passive Perception 15
Languages None
CR 1/4 (XP 50; PB +2)
Traits
Pack Tactics. The wolf has Advantage on attack rolls
against a creature if at least one of the wolf's allies is
within 5 feet of the creature and the ally doesn't have
the Incapacitated condition.
Actions
Bite. Melee Attack Roll: +4, reach 5 ft. Hit: 5 (1d6 + 2)
Piercing damage. If the target is a Medium or smaller
creature, it has the Prone condition.</t>
  </si>
  <si>
    <t>Deep Speech</t>
  </si>
  <si>
    <t>Auran</t>
  </si>
  <si>
    <t>Thieves' Cant</t>
  </si>
  <si>
    <t>Undercommon</t>
  </si>
  <si>
    <t>Infernal</t>
  </si>
  <si>
    <t>Sylvan</t>
  </si>
  <si>
    <t>Elvish</t>
  </si>
  <si>
    <t>Goblin</t>
  </si>
  <si>
    <t>Druidic</t>
  </si>
  <si>
    <t>Primordial</t>
  </si>
  <si>
    <t>Ignan</t>
  </si>
  <si>
    <t>Aquan</t>
  </si>
  <si>
    <t>Terran</t>
  </si>
  <si>
    <t>Highest:</t>
  </si>
  <si>
    <t>Monstrosity, Dragon</t>
  </si>
  <si>
    <t>Lowest:</t>
  </si>
  <si>
    <t>Undead, Beast, Other</t>
  </si>
  <si>
    <t>Monstrosity, Fiend, Beast, Other</t>
  </si>
  <si>
    <t>(Kraken), (Tarrasque)</t>
  </si>
  <si>
    <t>(Will-o'-Wisp, Specter), (Frog, Seahorse), (Shrieker Fungus)</t>
  </si>
  <si>
    <t>(Will-o'-Wisp)</t>
  </si>
  <si>
    <t>(Shrieker Fungus, Violent Fungus)</t>
  </si>
  <si>
    <t>(Tarrasque)</t>
  </si>
  <si>
    <t>(Bat, Frog, Hawk, Owl, Scorpion, Seahorse, Spider, Weasel)</t>
  </si>
  <si>
    <t>(Solar)</t>
  </si>
  <si>
    <t>(33 monsters)</t>
  </si>
  <si>
    <t>(Animated Armor, Animated Rug of Smothering, Shrieking Fungus, Violent Fungus)</t>
  </si>
  <si>
    <t>(13 monsters)</t>
  </si>
  <si>
    <t>Broad Range:</t>
  </si>
  <si>
    <t>Fiend, Dragon</t>
  </si>
  <si>
    <t>Learning Common language allows communicating with the most monsters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</si>
</sst>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4"/>
      <color theme="1"/>
      <name val="Aptos Narrow"/>
      <family val="2"/>
      <scheme val="minor"/>
    </font>
    <font>
      <sz val="20"/>
      <color theme="1"/>
      <name val="Aptos Narrow"/>
      <family val="2"/>
      <scheme val="minor"/>
    </font>
    <font>
      <b/>
      <sz val="22"/>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Alignment="1">
      <alignment wrapText="1"/>
    </xf>
    <xf numFmtId="0" fontId="18" fillId="0" borderId="0" xfId="0" applyFont="1"/>
    <xf numFmtId="0" fontId="19" fillId="0" borderId="0" xfId="0" applyFont="1"/>
    <xf numFmtId="0" fontId="20" fillId="0" borderId="0" xfId="0" applyFont="1"/>
    <xf numFmtId="2" fontId="20" fillId="0" borderId="0" xfId="0" applyNumberFormat="1" applyFont="1"/>
    <xf numFmtId="2" fontId="0" fillId="0" borderId="0" xfId="0" applyNumberFormat="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_xlchart.v1.19</cx:f>
      </cx:numDim>
    </cx:data>
    <cx:data id="1">
      <cx:numDim type="val">
        <cx:f>_xlchart.v1.21</cx:f>
      </cx:numDim>
    </cx:data>
    <cx:data id="2">
      <cx:numDim type="val">
        <cx:f>_xlchart.v1.23</cx:f>
      </cx:numDim>
    </cx:data>
    <cx:data id="3">
      <cx:numDim type="val">
        <cx:f>_xlchart.v1.25</cx:f>
      </cx:numDim>
    </cx:data>
    <cx:data id="4">
      <cx:numDim type="val">
        <cx:f>_xlchart.v1.27</cx:f>
      </cx:numDim>
    </cx:data>
    <cx:data id="5">
      <cx:numDim type="val">
        <cx:f>_xlchart.v1.29</cx:f>
      </cx:numDim>
    </cx:data>
    <cx:data id="6">
      <cx:numDim type="val">
        <cx:f>_xlchart.v1.31</cx:f>
      </cx:numDim>
    </cx:data>
    <cx:data id="7">
      <cx:numDim type="val">
        <cx:f>_xlchart.v1.33</cx:f>
      </cx:numDim>
    </cx:data>
    <cx:data id="8">
      <cx:numDim type="val">
        <cx:f>_xlchart.v1.35</cx:f>
      </cx:numDim>
    </cx:data>
  </cx:chartData>
  <cx:chart>
    <cx:title pos="t" align="ctr" overlay="0">
      <cx:tx>
        <cx:txData>
          <cx:v>Monster Strength by Type</cx:v>
        </cx:txData>
      </cx:tx>
      <cx:txPr>
        <a:bodyPr spcFirstLastPara="1" vertOverflow="ellipsis" horzOverflow="overflow" wrap="square" lIns="0" tIns="0" rIns="0" bIns="0" anchor="ctr" anchorCtr="1"/>
        <a:lstStyle/>
        <a:p>
          <a:pPr algn="ctr" rtl="0">
            <a:defRPr/>
          </a:pPr>
          <a:r>
            <a:rPr lang="en-US" sz="1800" b="1" i="0" u="none" strike="noStrike" baseline="0">
              <a:solidFill>
                <a:sysClr val="windowText" lastClr="000000">
                  <a:lumMod val="75000"/>
                  <a:lumOff val="25000"/>
                </a:sysClr>
              </a:solidFill>
              <a:latin typeface="Aptos Narrow" panose="02110004020202020204"/>
            </a:rPr>
            <a:t>Monster Strength by Type</a:t>
          </a:r>
        </a:p>
      </cx:txPr>
    </cx:title>
    <cx:plotArea>
      <cx:plotAreaRegion>
        <cx:plotSurface>
          <cx:spPr>
            <a:noFill/>
          </cx:spPr>
        </cx:plotSurface>
        <cx:series layoutId="boxWhisker" uniqueId="{D6F58618-9078-4A5B-AA8F-8EB881A80071}">
          <cx:tx>
            <cx:txData>
              <cx:f>_xlchart.v1.18</cx:f>
              <cx:v>Elemental</cx:v>
            </cx:txData>
          </cx:tx>
          <cx:dataId val="0"/>
          <cx:layoutPr>
            <cx:visibility meanLine="0" meanMarker="1" nonoutliers="0" outliers="1"/>
            <cx:statistics quartileMethod="exclusive"/>
          </cx:layoutPr>
        </cx:series>
        <cx:series layoutId="boxWhisker" uniqueId="{7C30103A-62C2-4176-A961-F957BA399F99}">
          <cx:tx>
            <cx:txData>
              <cx:f>_xlchart.v1.20</cx:f>
              <cx:v>Monstrosity</cx:v>
            </cx:txData>
          </cx:tx>
          <cx:dataId val="1"/>
          <cx:layoutPr>
            <cx:visibility meanLine="0" meanMarker="1" nonoutliers="0" outliers="1"/>
            <cx:statistics quartileMethod="exclusive"/>
          </cx:layoutPr>
        </cx:series>
        <cx:series layoutId="boxWhisker" uniqueId="{3FDEACBC-7DC6-4237-9ACC-B1FD483C1B45}">
          <cx:tx>
            <cx:txData>
              <cx:f>_xlchart.v1.22</cx:f>
              <cx:v>Humanoid</cx:v>
            </cx:txData>
          </cx:tx>
          <cx:dataId val="2"/>
          <cx:layoutPr>
            <cx:visibility meanLine="0" meanMarker="1" nonoutliers="0" outliers="1"/>
            <cx:statistics quartileMethod="exclusive"/>
          </cx:layoutPr>
        </cx:series>
        <cx:series layoutId="boxWhisker" uniqueId="{99675B6A-D6AC-49D5-9D67-13B1D45F5F17}">
          <cx:tx>
            <cx:txData>
              <cx:f>_xlchart.v1.24</cx:f>
              <cx:v>Fiend</cx:v>
            </cx:txData>
          </cx:tx>
          <cx:dataId val="3"/>
          <cx:layoutPr>
            <cx:visibility meanLine="0" meanMarker="1" nonoutliers="0" outliers="1"/>
            <cx:statistics quartileMethod="exclusive"/>
          </cx:layoutPr>
        </cx:series>
        <cx:series layoutId="boxWhisker" uniqueId="{0933104B-95DA-49CC-8CC7-616B97AF740D}">
          <cx:tx>
            <cx:txData>
              <cx:f>_xlchart.v1.26</cx:f>
              <cx:v>Dragon</cx:v>
            </cx:txData>
          </cx:tx>
          <cx:dataId val="4"/>
          <cx:layoutPr>
            <cx:visibility meanLine="0" meanMarker="1" nonoutliers="0" outliers="1"/>
            <cx:statistics quartileMethod="exclusive"/>
          </cx:layoutPr>
        </cx:series>
        <cx:series layoutId="boxWhisker" uniqueId="{1DE40E7F-2F85-4FA2-BE5B-5C1DB9689D02}">
          <cx:tx>
            <cx:txData>
              <cx:f>_xlchart.v1.28</cx:f>
              <cx:v>Fey</cx:v>
            </cx:txData>
          </cx:tx>
          <cx:dataId val="5"/>
          <cx:layoutPr>
            <cx:visibility meanLine="0" meanMarker="1" nonoutliers="0" outliers="1"/>
            <cx:statistics quartileMethod="exclusive"/>
          </cx:layoutPr>
        </cx:series>
        <cx:series layoutId="boxWhisker" uniqueId="{884DA023-9238-4E23-A9D1-E55ABAFCCFB6}">
          <cx:tx>
            <cx:txData>
              <cx:f>_xlchart.v1.30</cx:f>
              <cx:v>Undead</cx:v>
            </cx:txData>
          </cx:tx>
          <cx:dataId val="6"/>
          <cx:layoutPr>
            <cx:visibility meanLine="0" meanMarker="1" nonoutliers="0" outliers="1"/>
            <cx:statistics quartileMethod="exclusive"/>
          </cx:layoutPr>
        </cx:series>
        <cx:series layoutId="boxWhisker" uniqueId="{DCD2BEC7-248E-4EDE-B224-5B2BE42B25E6}">
          <cx:tx>
            <cx:txData>
              <cx:f>_xlchart.v1.32</cx:f>
              <cx:v>Beast</cx:v>
            </cx:txData>
          </cx:tx>
          <cx:dataId val="7"/>
          <cx:layoutPr>
            <cx:visibility meanLine="0" meanMarker="1" nonoutliers="0" outliers="1"/>
            <cx:statistics quartileMethod="exclusive"/>
          </cx:layoutPr>
        </cx:series>
        <cx:series layoutId="boxWhisker" uniqueId="{A55F5C91-CE59-4C93-98ED-26C2AF376EFF}">
          <cx:tx>
            <cx:txData>
              <cx:f>_xlchart.v1.34</cx:f>
              <cx:v>Other</cx:v>
            </cx:txData>
          </cx:tx>
          <cx:dataId val="8"/>
          <cx:layoutPr>
            <cx:visibility meanLine="0" meanMarker="1" nonoutliers="0" outliers="1"/>
            <cx:statistics quartileMethod="exclusive"/>
          </cx:layoutPr>
        </cx:series>
      </cx:plotAreaRegion>
      <cx:axis id="0" hidden="1">
        <cx:catScaling gapWidth="0.100000001"/>
        <cx:title>
          <cx:tx>
            <cx:txData>
              <cx:v>Monster Type</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75000"/>
                      <a:lumOff val="25000"/>
                    </a:sysClr>
                  </a:solidFill>
                  <a:latin typeface="Aptos Narrow" panose="02110004020202020204"/>
                </a:rPr>
                <a:t>Monster Type</a:t>
              </a:r>
            </a:p>
          </cx:txPr>
        </cx:title>
        <cx:tickLabels/>
        <cx:numFmt formatCode="@" sourceLinked="0"/>
      </cx:axis>
      <cx:axis id="1">
        <cx:valScaling/>
        <cx:title>
          <cx:tx>
            <cx:txData>
              <cx:v>Strength Score</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75000"/>
                      <a:lumOff val="25000"/>
                    </a:sysClr>
                  </a:solidFill>
                  <a:latin typeface="Aptos Narrow" panose="02110004020202020204"/>
                </a:rPr>
                <a:t>Strength Score</a:t>
              </a:r>
            </a:p>
          </cx:txPr>
        </cx:title>
        <cx:majorGridlines/>
        <cx:tickLabels/>
      </cx:axis>
    </cx:plotArea>
    <cx:legend pos="b" align="ctr" overlay="0"/>
  </cx:chart>
  <cx:spPr>
    <a:ln>
      <a:solidFill>
        <a:schemeClr val="accent1"/>
      </a:solid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_xlchart.v1.39</cx:f>
      </cx:numDim>
    </cx:data>
    <cx:data id="1">
      <cx:numDim type="val">
        <cx:f>_xlchart.v1.41</cx:f>
      </cx:numDim>
    </cx:data>
    <cx:data id="2">
      <cx:numDim type="val">
        <cx:f>_xlchart.v1.43</cx:f>
      </cx:numDim>
    </cx:data>
    <cx:data id="3">
      <cx:numDim type="val">
        <cx:f>_xlchart.v1.45</cx:f>
      </cx:numDim>
    </cx:data>
    <cx:data id="4">
      <cx:numDim type="val">
        <cx:f>_xlchart.v1.47</cx:f>
      </cx:numDim>
    </cx:data>
    <cx:data id="5">
      <cx:numDim type="val">
        <cx:f>_xlchart.v1.49</cx:f>
      </cx:numDim>
    </cx:data>
    <cx:data id="6">
      <cx:numDim type="val">
        <cx:f>_xlchart.v1.51</cx:f>
      </cx:numDim>
    </cx:data>
    <cx:data id="7">
      <cx:numDim type="val">
        <cx:f>_xlchart.v1.53</cx:f>
      </cx:numDim>
    </cx:data>
    <cx:data id="8">
      <cx:numDim type="val">
        <cx:f>_xlchart.v1.55</cx:f>
      </cx:numDim>
    </cx:data>
  </cx:chartData>
  <cx:chart>
    <cx:title pos="t" align="ctr" overlay="0">
      <cx:tx>
        <cx:txData>
          <cx:v>Monster Dexterity by Type</cx:v>
        </cx:txData>
      </cx:tx>
      <cx:txPr>
        <a:bodyPr spcFirstLastPara="1" vertOverflow="ellipsis" horzOverflow="overflow" wrap="square" lIns="0" tIns="0" rIns="0" bIns="0" anchor="ctr" anchorCtr="1"/>
        <a:lstStyle/>
        <a:p>
          <a:pPr algn="ctr" rtl="0">
            <a:defRPr/>
          </a:pPr>
          <a:r>
            <a:rPr lang="en-US" sz="1800" b="1" i="0" u="none" strike="noStrike" baseline="0">
              <a:solidFill>
                <a:sysClr val="windowText" lastClr="000000">
                  <a:lumMod val="75000"/>
                  <a:lumOff val="25000"/>
                </a:sysClr>
              </a:solidFill>
              <a:latin typeface="Aptos Narrow" panose="02110004020202020204"/>
            </a:rPr>
            <a:t>Monster Dexterity by Type</a:t>
          </a:r>
        </a:p>
      </cx:txPr>
    </cx:title>
    <cx:plotArea>
      <cx:plotAreaRegion>
        <cx:series layoutId="boxWhisker" uniqueId="{B1DEAC12-674A-44F5-829E-32B51BD303CF}">
          <cx:tx>
            <cx:txData>
              <cx:f>_xlchart.v1.38</cx:f>
              <cx:v>Elemental</cx:v>
            </cx:txData>
          </cx:tx>
          <cx:dataId val="0"/>
          <cx:layoutPr>
            <cx:visibility nonoutliers="0"/>
            <cx:statistics quartileMethod="exclusive"/>
          </cx:layoutPr>
        </cx:series>
        <cx:series layoutId="boxWhisker" uniqueId="{481A334D-175D-4E02-87FC-1F9F272B5CF2}">
          <cx:tx>
            <cx:txData>
              <cx:f>_xlchart.v1.40</cx:f>
              <cx:v>Monstrosity</cx:v>
            </cx:txData>
          </cx:tx>
          <cx:dataId val="1"/>
          <cx:layoutPr>
            <cx:visibility nonoutliers="0"/>
            <cx:statistics quartileMethod="exclusive"/>
          </cx:layoutPr>
        </cx:series>
        <cx:series layoutId="boxWhisker" uniqueId="{CCDB4671-8DC1-4050-8D84-56AE630C6E27}">
          <cx:tx>
            <cx:txData>
              <cx:f>_xlchart.v1.42</cx:f>
              <cx:v>Humanoid</cx:v>
            </cx:txData>
          </cx:tx>
          <cx:dataId val="2"/>
          <cx:layoutPr>
            <cx:visibility nonoutliers="0"/>
            <cx:statistics quartileMethod="exclusive"/>
          </cx:layoutPr>
        </cx:series>
        <cx:series layoutId="boxWhisker" uniqueId="{B8D3BEFD-33F2-4B42-B987-07BF39C51E6F}">
          <cx:tx>
            <cx:txData>
              <cx:f>_xlchart.v1.44</cx:f>
              <cx:v>Fiend</cx:v>
            </cx:txData>
          </cx:tx>
          <cx:dataId val="3"/>
          <cx:layoutPr>
            <cx:visibility nonoutliers="0"/>
            <cx:statistics quartileMethod="exclusive"/>
          </cx:layoutPr>
        </cx:series>
        <cx:series layoutId="boxWhisker" uniqueId="{3D37DC68-289F-4509-8D4A-7D9F77EFD529}">
          <cx:tx>
            <cx:txData>
              <cx:f>_xlchart.v1.46</cx:f>
              <cx:v>Dragon</cx:v>
            </cx:txData>
          </cx:tx>
          <cx:dataId val="4"/>
          <cx:layoutPr>
            <cx:visibility nonoutliers="0"/>
            <cx:statistics quartileMethod="exclusive"/>
          </cx:layoutPr>
        </cx:series>
        <cx:series layoutId="boxWhisker" uniqueId="{39344D15-3E7F-4AF8-BA34-985DA48FEA0F}">
          <cx:tx>
            <cx:txData>
              <cx:f>_xlchart.v1.48</cx:f>
              <cx:v>Fey</cx:v>
            </cx:txData>
          </cx:tx>
          <cx:dataId val="5"/>
          <cx:layoutPr>
            <cx:visibility nonoutliers="0"/>
            <cx:statistics quartileMethod="exclusive"/>
          </cx:layoutPr>
        </cx:series>
        <cx:series layoutId="boxWhisker" uniqueId="{A606613F-3F90-4514-9146-1EAA36875DB9}">
          <cx:tx>
            <cx:txData>
              <cx:f>_xlchart.v1.50</cx:f>
              <cx:v>Undead</cx:v>
            </cx:txData>
          </cx:tx>
          <cx:dataId val="6"/>
          <cx:layoutPr>
            <cx:visibility meanLine="0" meanMarker="1" nonoutliers="0"/>
            <cx:statistics quartileMethod="exclusive"/>
          </cx:layoutPr>
        </cx:series>
        <cx:series layoutId="boxWhisker" uniqueId="{61E8E58E-8D0D-4BFC-9152-AAEFB7990699}">
          <cx:tx>
            <cx:txData>
              <cx:f>_xlchart.v1.52</cx:f>
              <cx:v>Beast</cx:v>
            </cx:txData>
          </cx:tx>
          <cx:dataId val="7"/>
          <cx:layoutPr>
            <cx:visibility nonoutliers="0"/>
            <cx:statistics quartileMethod="exclusive"/>
          </cx:layoutPr>
        </cx:series>
        <cx:series layoutId="boxWhisker" uniqueId="{EF022AB5-A1C8-457D-96DC-B9BC26AADA51}">
          <cx:tx>
            <cx:txData>
              <cx:f>_xlchart.v1.54</cx:f>
              <cx:v>Other</cx:v>
            </cx:txData>
          </cx:tx>
          <cx:dataId val="8"/>
          <cx:layoutPr>
            <cx:visibility nonoutliers="0"/>
            <cx:statistics quartileMethod="exclusive"/>
          </cx:layoutPr>
        </cx:series>
      </cx:plotAreaRegion>
      <cx:axis id="0" hidden="1">
        <cx:catScaling gapWidth="0.200000003"/>
        <cx:title>
          <cx:tx>
            <cx:txData>
              <cx:v>Monster Type</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75000"/>
                      <a:lumOff val="25000"/>
                    </a:sysClr>
                  </a:solidFill>
                  <a:latin typeface="Aptos Narrow" panose="02110004020202020204"/>
                </a:rPr>
                <a:t>Monster Type</a:t>
              </a:r>
            </a:p>
          </cx:txPr>
        </cx:title>
        <cx:tickLabels/>
      </cx:axis>
      <cx:axis id="1">
        <cx:valScaling/>
        <cx:title>
          <cx:tx>
            <cx:txData>
              <cx:v>Dexterity Score</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75000"/>
                      <a:lumOff val="25000"/>
                    </a:sysClr>
                  </a:solidFill>
                  <a:latin typeface="Aptos Narrow" panose="02110004020202020204"/>
                </a:rPr>
                <a:t>Dexterity Score</a:t>
              </a:r>
            </a:p>
          </cx:txPr>
        </cx:title>
        <cx:majorGridlines/>
        <cx:tickLabels/>
      </cx:axis>
    </cx:plotArea>
    <cx:legend pos="b"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_xlchart.v1.57</cx:f>
      </cx:numDim>
    </cx:data>
    <cx:data id="1">
      <cx:numDim type="val">
        <cx:f>_xlchart.v1.59</cx:f>
      </cx:numDim>
    </cx:data>
    <cx:data id="2">
      <cx:numDim type="val">
        <cx:f>_xlchart.v1.61</cx:f>
      </cx:numDim>
    </cx:data>
    <cx:data id="3">
      <cx:numDim type="val">
        <cx:f>_xlchart.v1.63</cx:f>
      </cx:numDim>
    </cx:data>
    <cx:data id="4">
      <cx:numDim type="val">
        <cx:f>_xlchart.v1.65</cx:f>
      </cx:numDim>
    </cx:data>
    <cx:data id="5">
      <cx:numDim type="val">
        <cx:f>_xlchart.v1.67</cx:f>
      </cx:numDim>
    </cx:data>
    <cx:data id="6">
      <cx:numDim type="val">
        <cx:f>_xlchart.v1.69</cx:f>
      </cx:numDim>
    </cx:data>
    <cx:data id="7">
      <cx:numDim type="val">
        <cx:f>_xlchart.v1.71</cx:f>
      </cx:numDim>
    </cx:data>
    <cx:data id="8">
      <cx:numDim type="val">
        <cx:f>_xlchart.v1.73</cx:f>
      </cx:numDim>
    </cx:data>
  </cx:chartData>
  <cx:chart>
    <cx:title pos="t" align="ctr" overlay="0">
      <cx:tx>
        <cx:txData>
          <cx:v>Monster Constitution by Type</cx:v>
        </cx:txData>
      </cx:tx>
      <cx:txPr>
        <a:bodyPr spcFirstLastPara="1" vertOverflow="ellipsis" horzOverflow="overflow" wrap="square" lIns="0" tIns="0" rIns="0" bIns="0" anchor="ctr" anchorCtr="1"/>
        <a:lstStyle/>
        <a:p>
          <a:pPr algn="ctr" rtl="0">
            <a:defRPr/>
          </a:pPr>
          <a:r>
            <a:rPr lang="en-US" sz="1800" b="1" i="0" u="none" strike="noStrike" baseline="0">
              <a:solidFill>
                <a:sysClr val="windowText" lastClr="000000">
                  <a:lumMod val="75000"/>
                  <a:lumOff val="25000"/>
                </a:sysClr>
              </a:solidFill>
              <a:latin typeface="Aptos Narrow" panose="02110004020202020204"/>
            </a:rPr>
            <a:t>Monster Constitution by Type</a:t>
          </a:r>
        </a:p>
      </cx:txPr>
    </cx:title>
    <cx:plotArea>
      <cx:plotAreaRegion>
        <cx:series layoutId="boxWhisker" uniqueId="{25F85109-15D6-43F4-A7F3-23D9E04D2A8F}">
          <cx:tx>
            <cx:txData>
              <cx:f>_xlchart.v1.56</cx:f>
              <cx:v>Elemental</cx:v>
            </cx:txData>
          </cx:tx>
          <cx:dataId val="0"/>
          <cx:layoutPr>
            <cx:visibility meanLine="0" meanMarker="1" nonoutliers="0" outliers="1"/>
            <cx:statistics quartileMethod="exclusive"/>
          </cx:layoutPr>
        </cx:series>
        <cx:series layoutId="boxWhisker" uniqueId="{976008BE-FF4F-4E0C-913C-5F216267BD7D}">
          <cx:tx>
            <cx:txData>
              <cx:f>_xlchart.v1.58</cx:f>
              <cx:v>Monstrosity</cx:v>
            </cx:txData>
          </cx:tx>
          <cx:dataId val="1"/>
          <cx:layoutPr>
            <cx:visibility meanLine="0" meanMarker="1" nonoutliers="0" outliers="1"/>
            <cx:statistics quartileMethod="exclusive"/>
          </cx:layoutPr>
        </cx:series>
        <cx:series layoutId="boxWhisker" uniqueId="{C3970683-AC4B-4EAA-81B3-DE0A7A8FBD70}">
          <cx:tx>
            <cx:txData>
              <cx:f>_xlchart.v1.60</cx:f>
              <cx:v>Humanoid</cx:v>
            </cx:txData>
          </cx:tx>
          <cx:dataId val="2"/>
          <cx:layoutPr>
            <cx:visibility meanLine="0" meanMarker="1" nonoutliers="0" outliers="1"/>
            <cx:statistics quartileMethod="exclusive"/>
          </cx:layoutPr>
        </cx:series>
        <cx:series layoutId="boxWhisker" uniqueId="{A40916F6-38EB-4075-91CE-95E27C1C9002}">
          <cx:tx>
            <cx:txData>
              <cx:f>_xlchart.v1.62</cx:f>
              <cx:v>Fiend</cx:v>
            </cx:txData>
          </cx:tx>
          <cx:dataId val="3"/>
          <cx:layoutPr>
            <cx:visibility meanLine="0" meanMarker="1" nonoutliers="0" outliers="1"/>
            <cx:statistics quartileMethod="exclusive"/>
          </cx:layoutPr>
        </cx:series>
        <cx:series layoutId="boxWhisker" uniqueId="{CD8F9429-F2FC-4FA3-94E3-4A2322E85A37}">
          <cx:tx>
            <cx:txData>
              <cx:f>_xlchart.v1.64</cx:f>
              <cx:v>Dragon</cx:v>
            </cx:txData>
          </cx:tx>
          <cx:dataId val="4"/>
          <cx:layoutPr>
            <cx:visibility meanLine="0" meanMarker="1" nonoutliers="0" outliers="1"/>
            <cx:statistics quartileMethod="exclusive"/>
          </cx:layoutPr>
        </cx:series>
        <cx:series layoutId="boxWhisker" uniqueId="{3B8F6DBC-715D-4EF4-842D-C6C295E5E616}">
          <cx:tx>
            <cx:txData>
              <cx:f>_xlchart.v1.66</cx:f>
              <cx:v>Fey</cx:v>
            </cx:txData>
          </cx:tx>
          <cx:dataId val="5"/>
          <cx:layoutPr>
            <cx:visibility meanLine="0" meanMarker="1" nonoutliers="0" outliers="1"/>
            <cx:statistics quartileMethod="exclusive"/>
          </cx:layoutPr>
        </cx:series>
        <cx:series layoutId="boxWhisker" uniqueId="{CEBDF72C-B221-4DFC-859D-D33768440179}">
          <cx:tx>
            <cx:txData>
              <cx:f>_xlchart.v1.68</cx:f>
              <cx:v>Undead</cx:v>
            </cx:txData>
          </cx:tx>
          <cx:dataId val="6"/>
          <cx:layoutPr>
            <cx:visibility meanLine="0" meanMarker="1" nonoutliers="0" outliers="1"/>
            <cx:statistics quartileMethod="exclusive"/>
          </cx:layoutPr>
        </cx:series>
        <cx:series layoutId="boxWhisker" uniqueId="{3E77C8DD-E75D-430B-B5D9-63732D3D8806}">
          <cx:tx>
            <cx:txData>
              <cx:f>_xlchart.v1.70</cx:f>
              <cx:v>Beast</cx:v>
            </cx:txData>
          </cx:tx>
          <cx:dataId val="7"/>
          <cx:layoutPr>
            <cx:visibility meanLine="0" meanMarker="1" nonoutliers="0" outliers="1"/>
            <cx:statistics quartileMethod="exclusive"/>
          </cx:layoutPr>
        </cx:series>
        <cx:series layoutId="boxWhisker" uniqueId="{A68A5DAC-307F-4E61-BB64-1D80E220D95E}">
          <cx:tx>
            <cx:txData>
              <cx:f>_xlchart.v1.72</cx:f>
              <cx:v>Other</cx:v>
            </cx:txData>
          </cx:tx>
          <cx:dataId val="8"/>
          <cx:layoutPr>
            <cx:visibility meanLine="0" meanMarker="1" nonoutliers="0" outliers="1"/>
            <cx:statistics quartileMethod="exclusive"/>
          </cx:layoutPr>
        </cx:series>
      </cx:plotAreaRegion>
      <cx:axis id="0" hidden="1">
        <cx:catScaling gapWidth="0.200000003"/>
        <cx:tickLabels/>
      </cx:axis>
      <cx:axis id="1">
        <cx:valScaling/>
        <cx:title>
          <cx:tx>
            <cx:txData>
              <cx:v>Constitution Value</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75000"/>
                      <a:lumOff val="25000"/>
                    </a:sysClr>
                  </a:solidFill>
                  <a:latin typeface="Aptos Narrow" panose="02110004020202020204"/>
                </a:rPr>
                <a:t>Constitution Value</a:t>
              </a:r>
            </a:p>
          </cx:txPr>
        </cx:title>
        <cx:majorGridlines/>
        <cx:tickLabels/>
      </cx:axis>
    </cx:plotArea>
    <cx:legend pos="b" align="ctr"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_xlchart.v1.75</cx:f>
      </cx:numDim>
    </cx:data>
    <cx:data id="1">
      <cx:numDim type="val">
        <cx:f>_xlchart.v1.77</cx:f>
      </cx:numDim>
    </cx:data>
    <cx:data id="2">
      <cx:numDim type="val">
        <cx:f>_xlchart.v1.79</cx:f>
      </cx:numDim>
    </cx:data>
    <cx:data id="3">
      <cx:numDim type="val">
        <cx:f>_xlchart.v1.81</cx:f>
      </cx:numDim>
    </cx:data>
    <cx:data id="4">
      <cx:numDim type="val">
        <cx:f>_xlchart.v1.83</cx:f>
      </cx:numDim>
    </cx:data>
    <cx:data id="5">
      <cx:numDim type="val">
        <cx:f>_xlchart.v1.85</cx:f>
      </cx:numDim>
    </cx:data>
    <cx:data id="6">
      <cx:numDim type="val">
        <cx:f>_xlchart.v1.87</cx:f>
      </cx:numDim>
    </cx:data>
    <cx:data id="7">
      <cx:numDim type="val">
        <cx:f>_xlchart.v1.89</cx:f>
      </cx:numDim>
    </cx:data>
    <cx:data id="8">
      <cx:numDim type="val">
        <cx:f>_xlchart.v1.91</cx:f>
      </cx:numDim>
    </cx:data>
  </cx:chartData>
  <cx:chart>
    <cx:title pos="t" align="ctr" overlay="0">
      <cx:tx>
        <cx:txData>
          <cx:v>Monster Intelligence by Type</cx:v>
        </cx:txData>
      </cx:tx>
      <cx:txPr>
        <a:bodyPr spcFirstLastPara="1" vertOverflow="ellipsis" horzOverflow="overflow" wrap="square" lIns="0" tIns="0" rIns="0" bIns="0" anchor="ctr" anchorCtr="1"/>
        <a:lstStyle/>
        <a:p>
          <a:pPr algn="ctr" rtl="0">
            <a:defRPr/>
          </a:pPr>
          <a:r>
            <a:rPr lang="en-US" sz="1800" b="1" i="0" u="none" strike="noStrike" baseline="0">
              <a:solidFill>
                <a:sysClr val="windowText" lastClr="000000">
                  <a:lumMod val="75000"/>
                  <a:lumOff val="25000"/>
                </a:sysClr>
              </a:solidFill>
              <a:latin typeface="Aptos Narrow" panose="02110004020202020204"/>
            </a:rPr>
            <a:t>Monster Intelligence by Type</a:t>
          </a:r>
        </a:p>
      </cx:txPr>
    </cx:title>
    <cx:plotArea>
      <cx:plotAreaRegion>
        <cx:series layoutId="boxWhisker" uniqueId="{25F85109-15D6-43F4-A7F3-23D9E04D2A8F}">
          <cx:tx>
            <cx:txData>
              <cx:f>_xlchart.v1.74</cx:f>
              <cx:v>Elemental</cx:v>
            </cx:txData>
          </cx:tx>
          <cx:dataId val="0"/>
          <cx:layoutPr>
            <cx:visibility meanLine="0" meanMarker="1" nonoutliers="0" outliers="1"/>
            <cx:statistics quartileMethod="exclusive"/>
          </cx:layoutPr>
        </cx:series>
        <cx:series layoutId="boxWhisker" uniqueId="{976008BE-FF4F-4E0C-913C-5F216267BD7D}">
          <cx:tx>
            <cx:txData>
              <cx:f>_xlchart.v1.76</cx:f>
              <cx:v>Monstrosity</cx:v>
            </cx:txData>
          </cx:tx>
          <cx:dataId val="1"/>
          <cx:layoutPr>
            <cx:visibility meanLine="0" meanMarker="1" nonoutliers="0" outliers="1"/>
            <cx:statistics quartileMethod="exclusive"/>
          </cx:layoutPr>
        </cx:series>
        <cx:series layoutId="boxWhisker" uniqueId="{C3970683-AC4B-4EAA-81B3-DE0A7A8FBD70}">
          <cx:tx>
            <cx:txData>
              <cx:f>_xlchart.v1.78</cx:f>
              <cx:v>Humanoid</cx:v>
            </cx:txData>
          </cx:tx>
          <cx:dataId val="2"/>
          <cx:layoutPr>
            <cx:visibility meanLine="0" meanMarker="1" nonoutliers="0" outliers="1"/>
            <cx:statistics quartileMethod="exclusive"/>
          </cx:layoutPr>
        </cx:series>
        <cx:series layoutId="boxWhisker" uniqueId="{A40916F6-38EB-4075-91CE-95E27C1C9002}">
          <cx:tx>
            <cx:txData>
              <cx:f>_xlchart.v1.80</cx:f>
              <cx:v>Fiend</cx:v>
            </cx:txData>
          </cx:tx>
          <cx:dataId val="3"/>
          <cx:layoutPr>
            <cx:visibility meanLine="0" meanMarker="1" nonoutliers="0" outliers="1"/>
            <cx:statistics quartileMethod="exclusive"/>
          </cx:layoutPr>
        </cx:series>
        <cx:series layoutId="boxWhisker" uniqueId="{CD8F9429-F2FC-4FA3-94E3-4A2322E85A37}">
          <cx:tx>
            <cx:txData>
              <cx:f>_xlchart.v1.82</cx:f>
              <cx:v>Dragon</cx:v>
            </cx:txData>
          </cx:tx>
          <cx:dataId val="4"/>
          <cx:layoutPr>
            <cx:visibility meanLine="0" meanMarker="1" nonoutliers="0" outliers="1"/>
            <cx:statistics quartileMethod="exclusive"/>
          </cx:layoutPr>
        </cx:series>
        <cx:series layoutId="boxWhisker" uniqueId="{3B8F6DBC-715D-4EF4-842D-C6C295E5E616}">
          <cx:tx>
            <cx:txData>
              <cx:f>_xlchart.v1.84</cx:f>
              <cx:v>Fey</cx:v>
            </cx:txData>
          </cx:tx>
          <cx:dataId val="5"/>
          <cx:layoutPr>
            <cx:visibility meanLine="0" meanMarker="1" nonoutliers="0" outliers="1"/>
            <cx:statistics quartileMethod="exclusive"/>
          </cx:layoutPr>
        </cx:series>
        <cx:series layoutId="boxWhisker" uniqueId="{CEBDF72C-B221-4DFC-859D-D33768440179}">
          <cx:tx>
            <cx:txData>
              <cx:f>_xlchart.v1.86</cx:f>
              <cx:v>Undead</cx:v>
            </cx:txData>
          </cx:tx>
          <cx:dataId val="6"/>
          <cx:layoutPr>
            <cx:visibility meanLine="0" meanMarker="1" nonoutliers="0" outliers="1"/>
            <cx:statistics quartileMethod="exclusive"/>
          </cx:layoutPr>
        </cx:series>
        <cx:series layoutId="boxWhisker" uniqueId="{3E77C8DD-E75D-430B-B5D9-63732D3D8806}">
          <cx:tx>
            <cx:txData>
              <cx:f>_xlchart.v1.88</cx:f>
              <cx:v>Beast</cx:v>
            </cx:txData>
          </cx:tx>
          <cx:dataId val="7"/>
          <cx:layoutPr>
            <cx:visibility meanLine="0" meanMarker="1" nonoutliers="0" outliers="1"/>
            <cx:statistics quartileMethod="exclusive"/>
          </cx:layoutPr>
        </cx:series>
        <cx:series layoutId="boxWhisker" uniqueId="{A68A5DAC-307F-4E61-BB64-1D80E220D95E}">
          <cx:tx>
            <cx:txData>
              <cx:f>_xlchart.v1.90</cx:f>
              <cx:v>Other</cx:v>
            </cx:txData>
          </cx:tx>
          <cx:dataId val="8"/>
          <cx:layoutPr>
            <cx:visibility meanLine="0" meanMarker="1" nonoutliers="0" outliers="1"/>
            <cx:statistics quartileMethod="exclusive"/>
          </cx:layoutPr>
        </cx:series>
      </cx:plotAreaRegion>
      <cx:axis id="0" hidden="1">
        <cx:catScaling gapWidth="0.200000003"/>
        <cx:tickLabels/>
      </cx:axis>
      <cx:axis id="1">
        <cx:valScaling/>
        <cx:title>
          <cx:tx>
            <cx:txData>
              <cx:v>Intelligence Value</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75000"/>
                      <a:lumOff val="25000"/>
                    </a:sysClr>
                  </a:solidFill>
                  <a:latin typeface="Aptos Narrow" panose="02110004020202020204"/>
                </a:rPr>
                <a:t>Intelligence Value</a:t>
              </a:r>
            </a:p>
          </cx:txPr>
        </cx:title>
        <cx:majorGridlines/>
        <cx:tickLabels/>
      </cx:axis>
    </cx:plotArea>
    <cx:legend pos="b" align="ctr" overlay="0"/>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numDim type="val">
        <cx:f>_xlchart.v1.93</cx:f>
      </cx:numDim>
    </cx:data>
    <cx:data id="1">
      <cx:numDim type="val">
        <cx:f>_xlchart.v1.95</cx:f>
      </cx:numDim>
    </cx:data>
    <cx:data id="2">
      <cx:numDim type="val">
        <cx:f>_xlchart.v1.97</cx:f>
      </cx:numDim>
    </cx:data>
    <cx:data id="3">
      <cx:numDim type="val">
        <cx:f>_xlchart.v1.99</cx:f>
      </cx:numDim>
    </cx:data>
    <cx:data id="4">
      <cx:numDim type="val">
        <cx:f>_xlchart.v1.101</cx:f>
      </cx:numDim>
    </cx:data>
    <cx:data id="5">
      <cx:numDim type="val">
        <cx:f>_xlchart.v1.103</cx:f>
      </cx:numDim>
    </cx:data>
    <cx:data id="6">
      <cx:numDim type="val">
        <cx:f>_xlchart.v1.105</cx:f>
      </cx:numDim>
    </cx:data>
    <cx:data id="7">
      <cx:numDim type="val">
        <cx:f>_xlchart.v1.107</cx:f>
      </cx:numDim>
    </cx:data>
    <cx:data id="8">
      <cx:numDim type="val">
        <cx:f>_xlchart.v1.109</cx:f>
      </cx:numDim>
    </cx:data>
  </cx:chartData>
  <cx:chart>
    <cx:title pos="t" align="ctr" overlay="0">
      <cx:tx>
        <cx:txData>
          <cx:v>Monster Wisdom by Type</cx:v>
        </cx:txData>
      </cx:tx>
      <cx:txPr>
        <a:bodyPr spcFirstLastPara="1" vertOverflow="ellipsis" horzOverflow="overflow" wrap="square" lIns="0" tIns="0" rIns="0" bIns="0" anchor="ctr" anchorCtr="1"/>
        <a:lstStyle/>
        <a:p>
          <a:pPr algn="ctr" rtl="0">
            <a:defRPr/>
          </a:pPr>
          <a:r>
            <a:rPr lang="en-US" sz="1800" b="1" i="0" u="none" strike="noStrike" baseline="0">
              <a:solidFill>
                <a:sysClr val="windowText" lastClr="000000">
                  <a:lumMod val="75000"/>
                  <a:lumOff val="25000"/>
                </a:sysClr>
              </a:solidFill>
              <a:latin typeface="Aptos Narrow" panose="02110004020202020204"/>
            </a:rPr>
            <a:t>Monster Wisdom by Type</a:t>
          </a:r>
        </a:p>
      </cx:txPr>
    </cx:title>
    <cx:plotArea>
      <cx:plotAreaRegion>
        <cx:series layoutId="boxWhisker" uniqueId="{25F85109-15D6-43F4-A7F3-23D9E04D2A8F}">
          <cx:tx>
            <cx:txData>
              <cx:f>_xlchart.v1.92</cx:f>
              <cx:v>Elemental</cx:v>
            </cx:txData>
          </cx:tx>
          <cx:dataId val="0"/>
          <cx:layoutPr>
            <cx:visibility meanLine="0" meanMarker="1" nonoutliers="0" outliers="1"/>
            <cx:statistics quartileMethod="exclusive"/>
          </cx:layoutPr>
        </cx:series>
        <cx:series layoutId="boxWhisker" uniqueId="{976008BE-FF4F-4E0C-913C-5F216267BD7D}">
          <cx:tx>
            <cx:txData>
              <cx:f>_xlchart.v1.94</cx:f>
              <cx:v>Monstrosity</cx:v>
            </cx:txData>
          </cx:tx>
          <cx:dataId val="1"/>
          <cx:layoutPr>
            <cx:visibility meanLine="0" meanMarker="1" nonoutliers="0" outliers="1"/>
            <cx:statistics quartileMethod="exclusive"/>
          </cx:layoutPr>
        </cx:series>
        <cx:series layoutId="boxWhisker" uniqueId="{C3970683-AC4B-4EAA-81B3-DE0A7A8FBD70}">
          <cx:tx>
            <cx:txData>
              <cx:f>_xlchart.v1.96</cx:f>
              <cx:v>Humanoid</cx:v>
            </cx:txData>
          </cx:tx>
          <cx:dataId val="2"/>
          <cx:layoutPr>
            <cx:visibility meanLine="0" meanMarker="1" nonoutliers="0" outliers="1"/>
            <cx:statistics quartileMethod="exclusive"/>
          </cx:layoutPr>
        </cx:series>
        <cx:series layoutId="boxWhisker" uniqueId="{A40916F6-38EB-4075-91CE-95E27C1C9002}">
          <cx:tx>
            <cx:txData>
              <cx:f>_xlchart.v1.98</cx:f>
              <cx:v>Fiend</cx:v>
            </cx:txData>
          </cx:tx>
          <cx:dataId val="3"/>
          <cx:layoutPr>
            <cx:visibility meanLine="0" meanMarker="1" nonoutliers="0" outliers="1"/>
            <cx:statistics quartileMethod="exclusive"/>
          </cx:layoutPr>
        </cx:series>
        <cx:series layoutId="boxWhisker" uniqueId="{CD8F9429-F2FC-4FA3-94E3-4A2322E85A37}">
          <cx:tx>
            <cx:txData>
              <cx:f>_xlchart.v1.100</cx:f>
              <cx:v>Dragon</cx:v>
            </cx:txData>
          </cx:tx>
          <cx:dataId val="4"/>
          <cx:layoutPr>
            <cx:visibility meanLine="0" meanMarker="1" nonoutliers="0" outliers="1"/>
            <cx:statistics quartileMethod="exclusive"/>
          </cx:layoutPr>
        </cx:series>
        <cx:series layoutId="boxWhisker" uniqueId="{3B8F6DBC-715D-4EF4-842D-C6C295E5E616}">
          <cx:tx>
            <cx:txData>
              <cx:f>_xlchart.v1.102</cx:f>
              <cx:v>Fey</cx:v>
            </cx:txData>
          </cx:tx>
          <cx:dataId val="5"/>
          <cx:layoutPr>
            <cx:visibility meanLine="0" meanMarker="1" nonoutliers="0" outliers="1"/>
            <cx:statistics quartileMethod="exclusive"/>
          </cx:layoutPr>
        </cx:series>
        <cx:series layoutId="boxWhisker" uniqueId="{CEBDF72C-B221-4DFC-859D-D33768440179}">
          <cx:tx>
            <cx:txData>
              <cx:f>_xlchart.v1.104</cx:f>
              <cx:v>Undead</cx:v>
            </cx:txData>
          </cx:tx>
          <cx:dataId val="6"/>
          <cx:layoutPr>
            <cx:visibility meanLine="0" meanMarker="1" nonoutliers="0" outliers="1"/>
            <cx:statistics quartileMethod="exclusive"/>
          </cx:layoutPr>
        </cx:series>
        <cx:series layoutId="boxWhisker" uniqueId="{3E77C8DD-E75D-430B-B5D9-63732D3D8806}">
          <cx:tx>
            <cx:txData>
              <cx:f>_xlchart.v1.106</cx:f>
              <cx:v>Beast</cx:v>
            </cx:txData>
          </cx:tx>
          <cx:dataId val="7"/>
          <cx:layoutPr>
            <cx:visibility meanLine="0" meanMarker="1" nonoutliers="0" outliers="1"/>
            <cx:statistics quartileMethod="exclusive"/>
          </cx:layoutPr>
        </cx:series>
        <cx:series layoutId="boxWhisker" uniqueId="{A68A5DAC-307F-4E61-BB64-1D80E220D95E}">
          <cx:tx>
            <cx:txData>
              <cx:f>_xlchart.v1.108</cx:f>
              <cx:v>Other</cx:v>
            </cx:txData>
          </cx:tx>
          <cx:dataId val="8"/>
          <cx:layoutPr>
            <cx:visibility meanLine="0" meanMarker="1" nonoutliers="0" outliers="1"/>
            <cx:statistics quartileMethod="exclusive"/>
          </cx:layoutPr>
        </cx:series>
      </cx:plotAreaRegion>
      <cx:axis id="0" hidden="1">
        <cx:catScaling gapWidth="0.200000003"/>
        <cx:tickLabels/>
      </cx:axis>
      <cx:axis id="1">
        <cx:valScaling/>
        <cx:title>
          <cx:tx>
            <cx:txData>
              <cx:v>Wisdom Value</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75000"/>
                      <a:lumOff val="25000"/>
                    </a:sysClr>
                  </a:solidFill>
                  <a:latin typeface="Aptos Narrow" panose="02110004020202020204"/>
                </a:rPr>
                <a:t>Wisdom Value</a:t>
              </a:r>
            </a:p>
          </cx:txPr>
        </cx:title>
        <cx:majorGridlines/>
        <cx:tickLabels/>
      </cx:axis>
    </cx:plotArea>
    <cx:legend pos="b" align="ctr" overlay="0"/>
  </cx:chart>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numDim type="val">
        <cx:f>_xlchart.v1.111</cx:f>
      </cx:numDim>
    </cx:data>
    <cx:data id="1">
      <cx:numDim type="val">
        <cx:f>_xlchart.v1.113</cx:f>
      </cx:numDim>
    </cx:data>
    <cx:data id="2">
      <cx:numDim type="val">
        <cx:f>_xlchart.v1.115</cx:f>
      </cx:numDim>
    </cx:data>
    <cx:data id="3">
      <cx:numDim type="val">
        <cx:f>_xlchart.v1.117</cx:f>
      </cx:numDim>
    </cx:data>
    <cx:data id="4">
      <cx:numDim type="val">
        <cx:f>_xlchart.v1.119</cx:f>
      </cx:numDim>
    </cx:data>
    <cx:data id="5">
      <cx:numDim type="val">
        <cx:f>_xlchart.v1.121</cx:f>
      </cx:numDim>
    </cx:data>
    <cx:data id="6">
      <cx:numDim type="val">
        <cx:f>_xlchart.v1.123</cx:f>
      </cx:numDim>
    </cx:data>
    <cx:data id="7">
      <cx:numDim type="val">
        <cx:f>_xlchart.v1.125</cx:f>
      </cx:numDim>
    </cx:data>
    <cx:data id="8">
      <cx:numDim type="val">
        <cx:f>_xlchart.v1.127</cx:f>
      </cx:numDim>
    </cx:data>
  </cx:chartData>
  <cx:chart>
    <cx:title pos="t" align="ctr" overlay="0">
      <cx:tx>
        <cx:txData>
          <cx:v>Monster Charisma by Type</cx:v>
        </cx:txData>
      </cx:tx>
      <cx:txPr>
        <a:bodyPr spcFirstLastPara="1" vertOverflow="ellipsis" horzOverflow="overflow" wrap="square" lIns="0" tIns="0" rIns="0" bIns="0" anchor="ctr" anchorCtr="1"/>
        <a:lstStyle/>
        <a:p>
          <a:pPr algn="ctr" rtl="0">
            <a:defRPr/>
          </a:pPr>
          <a:r>
            <a:rPr lang="en-US" sz="1800" b="1" i="0" u="none" strike="noStrike" baseline="0">
              <a:solidFill>
                <a:sysClr val="windowText" lastClr="000000">
                  <a:lumMod val="75000"/>
                  <a:lumOff val="25000"/>
                </a:sysClr>
              </a:solidFill>
              <a:latin typeface="Aptos Narrow" panose="02110004020202020204"/>
            </a:rPr>
            <a:t>Monster Charisma by Type</a:t>
          </a:r>
        </a:p>
      </cx:txPr>
    </cx:title>
    <cx:plotArea>
      <cx:plotAreaRegion>
        <cx:series layoutId="boxWhisker" uniqueId="{25F85109-15D6-43F4-A7F3-23D9E04D2A8F}">
          <cx:tx>
            <cx:txData>
              <cx:f>_xlchart.v1.110</cx:f>
              <cx:v>Elemental</cx:v>
            </cx:txData>
          </cx:tx>
          <cx:dataId val="0"/>
          <cx:layoutPr>
            <cx:visibility meanLine="0" meanMarker="1" nonoutliers="0" outliers="1"/>
            <cx:statistics quartileMethod="exclusive"/>
          </cx:layoutPr>
        </cx:series>
        <cx:series layoutId="boxWhisker" uniqueId="{976008BE-FF4F-4E0C-913C-5F216267BD7D}">
          <cx:tx>
            <cx:txData>
              <cx:f>_xlchart.v1.112</cx:f>
              <cx:v>Monstrosity</cx:v>
            </cx:txData>
          </cx:tx>
          <cx:dataId val="1"/>
          <cx:layoutPr>
            <cx:visibility meanLine="0" meanMarker="1" nonoutliers="0" outliers="1"/>
            <cx:statistics quartileMethod="exclusive"/>
          </cx:layoutPr>
        </cx:series>
        <cx:series layoutId="boxWhisker" uniqueId="{C3970683-AC4B-4EAA-81B3-DE0A7A8FBD70}">
          <cx:tx>
            <cx:txData>
              <cx:f>_xlchart.v1.114</cx:f>
              <cx:v>Humanoid</cx:v>
            </cx:txData>
          </cx:tx>
          <cx:dataId val="2"/>
          <cx:layoutPr>
            <cx:visibility meanLine="0" meanMarker="1" nonoutliers="0" outliers="1"/>
            <cx:statistics quartileMethod="exclusive"/>
          </cx:layoutPr>
        </cx:series>
        <cx:series layoutId="boxWhisker" uniqueId="{A40916F6-38EB-4075-91CE-95E27C1C9002}">
          <cx:tx>
            <cx:txData>
              <cx:f>_xlchart.v1.116</cx:f>
              <cx:v>Fiend</cx:v>
            </cx:txData>
          </cx:tx>
          <cx:dataId val="3"/>
          <cx:layoutPr>
            <cx:visibility meanLine="0" meanMarker="1" nonoutliers="0" outliers="1"/>
            <cx:statistics quartileMethod="exclusive"/>
          </cx:layoutPr>
        </cx:series>
        <cx:series layoutId="boxWhisker" uniqueId="{CD8F9429-F2FC-4FA3-94E3-4A2322E85A37}">
          <cx:tx>
            <cx:txData>
              <cx:f>_xlchart.v1.118</cx:f>
              <cx:v>Dragon</cx:v>
            </cx:txData>
          </cx:tx>
          <cx:dataId val="4"/>
          <cx:layoutPr>
            <cx:visibility meanLine="0" meanMarker="1" nonoutliers="0" outliers="1"/>
            <cx:statistics quartileMethod="exclusive"/>
          </cx:layoutPr>
        </cx:series>
        <cx:series layoutId="boxWhisker" uniqueId="{3B8F6DBC-715D-4EF4-842D-C6C295E5E616}">
          <cx:tx>
            <cx:txData>
              <cx:f>_xlchart.v1.120</cx:f>
              <cx:v>Fey</cx:v>
            </cx:txData>
          </cx:tx>
          <cx:dataId val="5"/>
          <cx:layoutPr>
            <cx:visibility meanLine="0" meanMarker="1" nonoutliers="0" outliers="1"/>
            <cx:statistics quartileMethod="exclusive"/>
          </cx:layoutPr>
        </cx:series>
        <cx:series layoutId="boxWhisker" uniqueId="{CEBDF72C-B221-4DFC-859D-D33768440179}">
          <cx:tx>
            <cx:txData>
              <cx:f>_xlchart.v1.122</cx:f>
              <cx:v>Undead</cx:v>
            </cx:txData>
          </cx:tx>
          <cx:dataId val="6"/>
          <cx:layoutPr>
            <cx:visibility meanLine="0" meanMarker="1" nonoutliers="0" outliers="1"/>
            <cx:statistics quartileMethod="exclusive"/>
          </cx:layoutPr>
        </cx:series>
        <cx:series layoutId="boxWhisker" uniqueId="{3E77C8DD-E75D-430B-B5D9-63732D3D8806}">
          <cx:tx>
            <cx:txData>
              <cx:f>_xlchart.v1.124</cx:f>
              <cx:v>Beast</cx:v>
            </cx:txData>
          </cx:tx>
          <cx:dataId val="7"/>
          <cx:layoutPr>
            <cx:visibility meanLine="0" meanMarker="1" nonoutliers="0" outliers="1"/>
            <cx:statistics quartileMethod="exclusive"/>
          </cx:layoutPr>
        </cx:series>
        <cx:series layoutId="boxWhisker" uniqueId="{A68A5DAC-307F-4E61-BB64-1D80E220D95E}">
          <cx:tx>
            <cx:txData>
              <cx:f>_xlchart.v1.126</cx:f>
              <cx:v>Other</cx:v>
            </cx:txData>
          </cx:tx>
          <cx:dataId val="8"/>
          <cx:layoutPr>
            <cx:visibility meanLine="0" meanMarker="1" nonoutliers="0" outliers="1"/>
            <cx:statistics quartileMethod="exclusive"/>
          </cx:layoutPr>
        </cx:series>
      </cx:plotAreaRegion>
      <cx:axis id="0" hidden="1">
        <cx:catScaling gapWidth="0.200000003"/>
        <cx:tickLabels/>
      </cx:axis>
      <cx:axis id="1">
        <cx:valScaling/>
        <cx:title>
          <cx:tx>
            <cx:txData>
              <cx:v>Charisma Value</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75000"/>
                      <a:lumOff val="25000"/>
                    </a:sysClr>
                  </a:solidFill>
                  <a:latin typeface="Aptos Narrow" panose="02110004020202020204"/>
                </a:rPr>
                <a:t>Charisma Value</a:t>
              </a:r>
            </a:p>
          </cx:txPr>
        </cx:title>
        <cx:majorGridlines/>
        <cx:tickLabels/>
      </cx:axis>
    </cx:plotArea>
    <cx:legend pos="b" align="ctr" overlay="0"/>
  </cx:chart>
</cx:chartSpace>
</file>

<file path=xl/charts/chartEx7.xml><?xml version="1.0" encoding="utf-8"?>
<cx:chartSpace xmlns:a="http://schemas.openxmlformats.org/drawingml/2006/main" xmlns:r="http://schemas.openxmlformats.org/officeDocument/2006/relationships" xmlns:cx="http://schemas.microsoft.com/office/drawing/2014/chartex">
  <cx:chartData>
    <cx:data id="0">
      <cx:numDim type="val">
        <cx:f>_xlchart.v1.147</cx:f>
      </cx:numDim>
    </cx:data>
    <cx:data id="1">
      <cx:numDim type="val">
        <cx:f>_xlchart.v1.149</cx:f>
      </cx:numDim>
    </cx:data>
    <cx:data id="2">
      <cx:numDim type="val">
        <cx:f>_xlchart.v1.151</cx:f>
      </cx:numDim>
    </cx:data>
    <cx:data id="3">
      <cx:numDim type="val">
        <cx:f>_xlchart.v1.153</cx:f>
      </cx:numDim>
    </cx:data>
    <cx:data id="4">
      <cx:numDim type="val">
        <cx:f>_xlchart.v1.155</cx:f>
      </cx:numDim>
    </cx:data>
    <cx:data id="5">
      <cx:numDim type="val">
        <cx:f>_xlchart.v1.157</cx:f>
      </cx:numDim>
    </cx:data>
    <cx:data id="6">
      <cx:numDim type="val">
        <cx:f>_xlchart.v1.159</cx:f>
      </cx:numDim>
    </cx:data>
    <cx:data id="7">
      <cx:numDim type="val">
        <cx:f>_xlchart.v1.161</cx:f>
      </cx:numDim>
    </cx:data>
    <cx:data id="8">
      <cx:numDim type="val">
        <cx:f>_xlchart.v1.163</cx:f>
      </cx:numDim>
    </cx:data>
  </cx:chartData>
  <cx:chart>
    <cx:title pos="t" align="ctr" overlay="0">
      <cx:tx>
        <cx:txData>
          <cx:v>Monster Challenge Rating by Type</cx:v>
        </cx:txData>
      </cx:tx>
      <cx:txPr>
        <a:bodyPr spcFirstLastPara="1" vertOverflow="ellipsis" horzOverflow="overflow" wrap="square" lIns="0" tIns="0" rIns="0" bIns="0" anchor="ctr" anchorCtr="1"/>
        <a:lstStyle/>
        <a:p>
          <a:pPr algn="ctr" rtl="0">
            <a:defRPr/>
          </a:pPr>
          <a:r>
            <a:rPr lang="en-US" sz="1800" b="1" i="0" u="none" strike="noStrike" baseline="0">
              <a:solidFill>
                <a:sysClr val="windowText" lastClr="000000">
                  <a:lumMod val="75000"/>
                  <a:lumOff val="25000"/>
                </a:sysClr>
              </a:solidFill>
              <a:latin typeface="Aptos Narrow" panose="02110004020202020204"/>
            </a:rPr>
            <a:t>Monster Challenge Rating by Type</a:t>
          </a:r>
        </a:p>
      </cx:txPr>
    </cx:title>
    <cx:plotArea>
      <cx:plotAreaRegion>
        <cx:series layoutId="boxWhisker" uniqueId="{25F85109-15D6-43F4-A7F3-23D9E04D2A8F}">
          <cx:tx>
            <cx:txData>
              <cx:f>_xlchart.v1.146</cx:f>
              <cx:v>Elemental</cx:v>
            </cx:txData>
          </cx:tx>
          <cx:dataId val="0"/>
          <cx:layoutPr>
            <cx:visibility meanLine="0" meanMarker="1" nonoutliers="0" outliers="1"/>
            <cx:statistics quartileMethod="exclusive"/>
          </cx:layoutPr>
        </cx:series>
        <cx:series layoutId="boxWhisker" uniqueId="{976008BE-FF4F-4E0C-913C-5F216267BD7D}">
          <cx:tx>
            <cx:txData>
              <cx:f>_xlchart.v1.148</cx:f>
              <cx:v>Monstrosity</cx:v>
            </cx:txData>
          </cx:tx>
          <cx:dataId val="1"/>
          <cx:layoutPr>
            <cx:visibility meanLine="0" meanMarker="1" nonoutliers="0" outliers="1"/>
            <cx:statistics quartileMethod="exclusive"/>
          </cx:layoutPr>
        </cx:series>
        <cx:series layoutId="boxWhisker" uniqueId="{C3970683-AC4B-4EAA-81B3-DE0A7A8FBD70}">
          <cx:tx>
            <cx:txData>
              <cx:f>_xlchart.v1.150</cx:f>
              <cx:v>Humanoid</cx:v>
            </cx:txData>
          </cx:tx>
          <cx:dataId val="2"/>
          <cx:layoutPr>
            <cx:visibility meanLine="0" meanMarker="1" nonoutliers="0" outliers="1"/>
            <cx:statistics quartileMethod="exclusive"/>
          </cx:layoutPr>
        </cx:series>
        <cx:series layoutId="boxWhisker" uniqueId="{A40916F6-38EB-4075-91CE-95E27C1C9002}">
          <cx:tx>
            <cx:txData>
              <cx:f>_xlchart.v1.152</cx:f>
              <cx:v>Fiend</cx:v>
            </cx:txData>
          </cx:tx>
          <cx:dataId val="3"/>
          <cx:layoutPr>
            <cx:visibility meanLine="0" meanMarker="1" nonoutliers="0" outliers="1"/>
            <cx:statistics quartileMethod="exclusive"/>
          </cx:layoutPr>
        </cx:series>
        <cx:series layoutId="boxWhisker" uniqueId="{CD8F9429-F2FC-4FA3-94E3-4A2322E85A37}">
          <cx:tx>
            <cx:txData>
              <cx:f>_xlchart.v1.154</cx:f>
              <cx:v>Dragon</cx:v>
            </cx:txData>
          </cx:tx>
          <cx:dataId val="4"/>
          <cx:layoutPr>
            <cx:visibility meanLine="0" meanMarker="1" nonoutliers="0" outliers="1"/>
            <cx:statistics quartileMethod="exclusive"/>
          </cx:layoutPr>
        </cx:series>
        <cx:series layoutId="boxWhisker" uniqueId="{3B8F6DBC-715D-4EF4-842D-C6C295E5E616}">
          <cx:tx>
            <cx:txData>
              <cx:f>_xlchart.v1.156</cx:f>
              <cx:v>Fey</cx:v>
            </cx:txData>
          </cx:tx>
          <cx:dataId val="5"/>
          <cx:layoutPr>
            <cx:visibility meanLine="0" meanMarker="1" nonoutliers="0" outliers="1"/>
            <cx:statistics quartileMethod="exclusive"/>
          </cx:layoutPr>
        </cx:series>
        <cx:series layoutId="boxWhisker" uniqueId="{CEBDF72C-B221-4DFC-859D-D33768440179}">
          <cx:tx>
            <cx:txData>
              <cx:f>_xlchart.v1.158</cx:f>
              <cx:v>Undead</cx:v>
            </cx:txData>
          </cx:tx>
          <cx:dataId val="6"/>
          <cx:layoutPr>
            <cx:visibility meanLine="0" meanMarker="1" nonoutliers="0" outliers="1"/>
            <cx:statistics quartileMethod="exclusive"/>
          </cx:layoutPr>
        </cx:series>
        <cx:series layoutId="boxWhisker" uniqueId="{3E77C8DD-E75D-430B-B5D9-63732D3D8806}">
          <cx:tx>
            <cx:txData>
              <cx:f>_xlchart.v1.160</cx:f>
              <cx:v>Beast</cx:v>
            </cx:txData>
          </cx:tx>
          <cx:dataId val="7"/>
          <cx:layoutPr>
            <cx:visibility meanLine="0" meanMarker="1" nonoutliers="0" outliers="1"/>
            <cx:statistics quartileMethod="exclusive"/>
          </cx:layoutPr>
        </cx:series>
        <cx:series layoutId="boxWhisker" uniqueId="{A68A5DAC-307F-4E61-BB64-1D80E220D95E}">
          <cx:tx>
            <cx:txData>
              <cx:f>_xlchart.v1.162</cx:f>
              <cx:v>Other</cx:v>
            </cx:txData>
          </cx:tx>
          <cx:dataId val="8"/>
          <cx:layoutPr>
            <cx:visibility meanLine="0" meanMarker="1" nonoutliers="0" outliers="1"/>
            <cx:statistics quartileMethod="exclusive"/>
          </cx:layoutPr>
        </cx:series>
      </cx:plotAreaRegion>
      <cx:axis id="0" hidden="1">
        <cx:catScaling gapWidth="0.200000003"/>
        <cx:tickLabels/>
      </cx:axis>
      <cx:axis id="1">
        <cx:valScaling max="30"/>
        <cx:title>
          <cx:tx>
            <cx:txData>
              <cx:v>Challenge Rating</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75000"/>
                      <a:lumOff val="25000"/>
                    </a:sysClr>
                  </a:solidFill>
                  <a:latin typeface="Aptos Narrow" panose="02110004020202020204"/>
                </a:rPr>
                <a:t>Challenge Rating</a:t>
              </a:r>
            </a:p>
          </cx:txPr>
        </cx:title>
        <cx:majorGridlines/>
        <cx:tickLabels/>
      </cx:axis>
    </cx:plotArea>
    <cx:legend pos="b"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08">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408">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408">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408">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08">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408">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408">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microsoft.com/office/2014/relationships/chartEx" Target="../charts/chartEx2.xml"/></Relationships>
</file>

<file path=xl/drawings/_rels/drawing3.xml.rels><?xml version="1.0" encoding="UTF-8" standalone="yes"?>
<Relationships xmlns="http://schemas.openxmlformats.org/package/2006/relationships"><Relationship Id="rId1" Type="http://schemas.microsoft.com/office/2014/relationships/chartEx" Target="../charts/chartEx3.xml"/></Relationships>
</file>

<file path=xl/drawings/_rels/drawing4.xml.rels><?xml version="1.0" encoding="UTF-8" standalone="yes"?>
<Relationships xmlns="http://schemas.openxmlformats.org/package/2006/relationships"><Relationship Id="rId1" Type="http://schemas.microsoft.com/office/2014/relationships/chartEx" Target="../charts/chartEx4.xml"/></Relationships>
</file>

<file path=xl/drawings/_rels/drawing5.xml.rels><?xml version="1.0" encoding="UTF-8" standalone="yes"?>
<Relationships xmlns="http://schemas.openxmlformats.org/package/2006/relationships"><Relationship Id="rId1" Type="http://schemas.microsoft.com/office/2014/relationships/chartEx" Target="../charts/chartEx5.xml"/></Relationships>
</file>

<file path=xl/drawings/_rels/drawing6.xml.rels><?xml version="1.0" encoding="UTF-8" standalone="yes"?>
<Relationships xmlns="http://schemas.openxmlformats.org/package/2006/relationships"><Relationship Id="rId1" Type="http://schemas.microsoft.com/office/2014/relationships/chartEx" Target="../charts/chartEx6.xml"/></Relationships>
</file>

<file path=xl/drawings/_rels/drawing7.xml.rels><?xml version="1.0" encoding="UTF-8" standalone="yes"?>
<Relationships xmlns="http://schemas.openxmlformats.org/package/2006/relationships"><Relationship Id="rId1" Type="http://schemas.microsoft.com/office/2014/relationships/chartEx" Target="../charts/chartEx7.xml"/></Relationships>
</file>

<file path=xl/drawings/drawing1.xml><?xml version="1.0" encoding="utf-8"?>
<xdr:wsDr xmlns:xdr="http://schemas.openxmlformats.org/drawingml/2006/spreadsheetDrawing" xmlns:a="http://schemas.openxmlformats.org/drawingml/2006/main">
  <xdr:twoCellAnchor>
    <xdr:from>
      <xdr:col>10</xdr:col>
      <xdr:colOff>28575</xdr:colOff>
      <xdr:row>0</xdr:row>
      <xdr:rowOff>14286</xdr:rowOff>
    </xdr:from>
    <xdr:to>
      <xdr:col>22</xdr:col>
      <xdr:colOff>600074</xdr:colOff>
      <xdr:row>29</xdr:row>
      <xdr:rowOff>180975</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0D0E48B8-7520-D063-5777-9946841C784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410200" y="14286"/>
              <a:ext cx="7886699" cy="583406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10</xdr:col>
      <xdr:colOff>66674</xdr:colOff>
      <xdr:row>0</xdr:row>
      <xdr:rowOff>23811</xdr:rowOff>
    </xdr:from>
    <xdr:to>
      <xdr:col>22</xdr:col>
      <xdr:colOff>590550</xdr:colOff>
      <xdr:row>29</xdr:row>
      <xdr:rowOff>161925</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D164B395-0F43-6741-696B-CB4F2B50E20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295899" y="23811"/>
              <a:ext cx="7839076" cy="580548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10</xdr:col>
      <xdr:colOff>66675</xdr:colOff>
      <xdr:row>0</xdr:row>
      <xdr:rowOff>71437</xdr:rowOff>
    </xdr:from>
    <xdr:to>
      <xdr:col>22</xdr:col>
      <xdr:colOff>600075</xdr:colOff>
      <xdr:row>29</xdr:row>
      <xdr:rowOff>152400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7FF51E81-1442-0BAF-B377-33EC8BF305C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162675" y="71437"/>
              <a:ext cx="7848600" cy="574833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10</xdr:col>
      <xdr:colOff>66675</xdr:colOff>
      <xdr:row>0</xdr:row>
      <xdr:rowOff>71437</xdr:rowOff>
    </xdr:from>
    <xdr:to>
      <xdr:col>22</xdr:col>
      <xdr:colOff>600075</xdr:colOff>
      <xdr:row>29</xdr:row>
      <xdr:rowOff>152400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4CBBF9C4-3B49-429E-835C-0BCB46EA661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295900" y="71437"/>
              <a:ext cx="7848600" cy="574833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10</xdr:col>
      <xdr:colOff>66675</xdr:colOff>
      <xdr:row>0</xdr:row>
      <xdr:rowOff>71437</xdr:rowOff>
    </xdr:from>
    <xdr:to>
      <xdr:col>22</xdr:col>
      <xdr:colOff>600075</xdr:colOff>
      <xdr:row>29</xdr:row>
      <xdr:rowOff>152400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7BE56366-3184-416D-BF10-024BB60C8C5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295900" y="71437"/>
              <a:ext cx="7848600" cy="574833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10</xdr:col>
      <xdr:colOff>66675</xdr:colOff>
      <xdr:row>0</xdr:row>
      <xdr:rowOff>71437</xdr:rowOff>
    </xdr:from>
    <xdr:to>
      <xdr:col>22</xdr:col>
      <xdr:colOff>600075</xdr:colOff>
      <xdr:row>29</xdr:row>
      <xdr:rowOff>152400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6ACDBAEE-2CB4-47D9-B5B7-F845FC96A99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295900" y="71437"/>
              <a:ext cx="7848600" cy="574833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10</xdr:col>
      <xdr:colOff>66675</xdr:colOff>
      <xdr:row>0</xdr:row>
      <xdr:rowOff>71437</xdr:rowOff>
    </xdr:from>
    <xdr:to>
      <xdr:col>22</xdr:col>
      <xdr:colOff>600075</xdr:colOff>
      <xdr:row>29</xdr:row>
      <xdr:rowOff>152400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E914F0B4-09F7-491B-BC5A-23047192F06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295900" y="71437"/>
              <a:ext cx="7848600" cy="574833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4216B-6617-4E12-AF78-F3CB99B0FD0E}">
  <dimension ref="A1:AG331"/>
  <sheetViews>
    <sheetView tabSelected="1" workbookViewId="0">
      <pane ySplit="1" topLeftCell="A2" activePane="bottomLeft" state="frozen"/>
      <selection pane="bottomLeft" activeCell="AG2" sqref="AG2"/>
    </sheetView>
  </sheetViews>
  <sheetFormatPr defaultRowHeight="15" customHeight="1" x14ac:dyDescent="0.25"/>
  <cols>
    <col min="1" max="1" width="26.28515625" bestFit="1" customWidth="1"/>
    <col min="2" max="2" width="20.85546875" bestFit="1" customWidth="1"/>
    <col min="3" max="3" width="6" bestFit="1" customWidth="1"/>
    <col min="4" max="4" width="16" bestFit="1" customWidth="1"/>
    <col min="5" max="5" width="20.7109375" bestFit="1" customWidth="1"/>
    <col min="6" max="6" width="33.28515625" bestFit="1" customWidth="1"/>
    <col min="7" max="7" width="21" bestFit="1" customWidth="1"/>
    <col min="8" max="8" width="6.140625" bestFit="1" customWidth="1"/>
    <col min="9" max="9" width="18.28515625" bestFit="1" customWidth="1"/>
    <col min="10" max="10" width="16" bestFit="1" customWidth="1"/>
    <col min="11" max="11" width="23.5703125" bestFit="1" customWidth="1"/>
    <col min="12" max="12" width="47.7109375" bestFit="1" customWidth="1"/>
    <col min="13" max="13" width="41.85546875" bestFit="1" customWidth="1"/>
    <col min="14" max="14" width="6.7109375" bestFit="1" customWidth="1"/>
    <col min="15" max="15" width="8.28515625" bestFit="1" customWidth="1"/>
    <col min="16" max="16" width="8.7109375" bestFit="1" customWidth="1"/>
    <col min="17" max="17" width="6.5703125" bestFit="1" customWidth="1"/>
    <col min="18" max="18" width="8" bestFit="1" customWidth="1"/>
    <col min="19" max="19" width="8.5703125" bestFit="1" customWidth="1"/>
    <col min="20" max="20" width="17.42578125" bestFit="1" customWidth="1"/>
    <col min="21" max="21" width="19.140625" bestFit="1" customWidth="1"/>
    <col min="22" max="22" width="19.5703125" bestFit="1" customWidth="1"/>
    <col min="23" max="23" width="17.28515625" bestFit="1" customWidth="1"/>
    <col min="24" max="24" width="18.85546875" bestFit="1" customWidth="1"/>
    <col min="25" max="25" width="19.42578125" bestFit="1" customWidth="1"/>
    <col min="26" max="26" width="77.5703125" bestFit="1" customWidth="1"/>
    <col min="27" max="27" width="61.85546875" bestFit="1" customWidth="1"/>
    <col min="28" max="28" width="76.85546875" bestFit="1" customWidth="1"/>
    <col min="29" max="29" width="123.5703125" bestFit="1" customWidth="1"/>
    <col min="30" max="30" width="47.42578125" bestFit="1" customWidth="1"/>
    <col min="31" max="31" width="68.5703125" bestFit="1" customWidth="1"/>
    <col min="32" max="32" width="83.85546875" bestFit="1" customWidth="1"/>
    <col min="33" max="33" width="17.140625" bestFit="1" customWidth="1"/>
  </cols>
  <sheetData>
    <row r="1" spans="1:33" s="2" customFormat="1" ht="31.5" x14ac:dyDescent="0.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row>
    <row r="2" spans="1:33" ht="15" customHeight="1" x14ac:dyDescent="0.25">
      <c r="A2" t="s">
        <v>33</v>
      </c>
      <c r="B2" t="s">
        <v>33</v>
      </c>
      <c r="C2">
        <v>10</v>
      </c>
      <c r="D2" t="s">
        <v>34</v>
      </c>
      <c r="E2" t="s">
        <v>35</v>
      </c>
      <c r="F2" t="s">
        <v>36</v>
      </c>
      <c r="G2" t="s">
        <v>37</v>
      </c>
      <c r="H2">
        <v>17</v>
      </c>
      <c r="I2">
        <v>7</v>
      </c>
      <c r="J2" t="s">
        <v>38</v>
      </c>
      <c r="K2">
        <v>150</v>
      </c>
      <c r="L2" t="s">
        <v>39</v>
      </c>
      <c r="M2">
        <v>10</v>
      </c>
      <c r="N2">
        <v>21</v>
      </c>
      <c r="O2">
        <v>9</v>
      </c>
      <c r="P2">
        <v>15</v>
      </c>
      <c r="Q2">
        <v>18</v>
      </c>
      <c r="R2">
        <v>15</v>
      </c>
      <c r="S2">
        <v>18</v>
      </c>
      <c r="T2">
        <v>5</v>
      </c>
      <c r="U2">
        <v>3</v>
      </c>
      <c r="V2">
        <v>6</v>
      </c>
      <c r="W2">
        <v>8</v>
      </c>
      <c r="X2">
        <v>6</v>
      </c>
      <c r="Y2">
        <v>4</v>
      </c>
      <c r="Z2" t="s">
        <v>40</v>
      </c>
      <c r="AA2" t="s">
        <v>36</v>
      </c>
      <c r="AB2" t="s">
        <v>36</v>
      </c>
      <c r="AC2" t="s">
        <v>36</v>
      </c>
      <c r="AD2" t="s">
        <v>36</v>
      </c>
      <c r="AE2" t="s">
        <v>41</v>
      </c>
      <c r="AF2" t="s">
        <v>42</v>
      </c>
      <c r="AG2" s="1" t="s">
        <v>43</v>
      </c>
    </row>
    <row r="3" spans="1:33" ht="15" customHeight="1" x14ac:dyDescent="0.25">
      <c r="A3" t="s">
        <v>44</v>
      </c>
      <c r="B3" t="s">
        <v>44</v>
      </c>
      <c r="C3">
        <v>5</v>
      </c>
      <c r="D3" t="s">
        <v>34</v>
      </c>
      <c r="E3" t="s">
        <v>45</v>
      </c>
      <c r="F3" t="s">
        <v>36</v>
      </c>
      <c r="G3" t="s">
        <v>46</v>
      </c>
      <c r="H3">
        <v>15</v>
      </c>
      <c r="I3">
        <v>5</v>
      </c>
      <c r="J3" t="s">
        <v>47</v>
      </c>
      <c r="K3">
        <v>90</v>
      </c>
      <c r="L3" t="s">
        <v>48</v>
      </c>
      <c r="M3">
        <v>10</v>
      </c>
      <c r="N3">
        <v>14</v>
      </c>
      <c r="O3">
        <v>20</v>
      </c>
      <c r="P3">
        <v>14</v>
      </c>
      <c r="Q3">
        <v>6</v>
      </c>
      <c r="R3">
        <v>10</v>
      </c>
      <c r="S3">
        <v>6</v>
      </c>
      <c r="T3">
        <v>2</v>
      </c>
      <c r="U3">
        <v>5</v>
      </c>
      <c r="V3">
        <v>2</v>
      </c>
      <c r="W3">
        <v>-2</v>
      </c>
      <c r="X3">
        <v>0</v>
      </c>
      <c r="Y3">
        <v>-2</v>
      </c>
      <c r="Z3" t="s">
        <v>36</v>
      </c>
      <c r="AA3" t="s">
        <v>49</v>
      </c>
      <c r="AB3" t="s">
        <v>36</v>
      </c>
      <c r="AC3" t="s">
        <v>50</v>
      </c>
      <c r="AD3" t="s">
        <v>36</v>
      </c>
      <c r="AE3" t="s">
        <v>51</v>
      </c>
      <c r="AF3" t="s">
        <v>52</v>
      </c>
      <c r="AG3" s="1" t="s">
        <v>53</v>
      </c>
    </row>
    <row r="4" spans="1:33" ht="15" customHeight="1" x14ac:dyDescent="0.25">
      <c r="A4" t="s">
        <v>54</v>
      </c>
      <c r="B4" t="s">
        <v>55</v>
      </c>
      <c r="C4">
        <v>1</v>
      </c>
      <c r="D4" t="s">
        <v>56</v>
      </c>
      <c r="E4" t="s">
        <v>57</v>
      </c>
      <c r="F4" t="s">
        <v>36</v>
      </c>
      <c r="G4" t="s">
        <v>58</v>
      </c>
      <c r="H4">
        <v>18</v>
      </c>
      <c r="I4">
        <v>2</v>
      </c>
      <c r="J4" t="s">
        <v>59</v>
      </c>
      <c r="K4">
        <v>33</v>
      </c>
      <c r="L4" t="s">
        <v>60</v>
      </c>
      <c r="M4">
        <v>25</v>
      </c>
      <c r="N4">
        <v>14</v>
      </c>
      <c r="O4">
        <v>11</v>
      </c>
      <c r="P4">
        <v>13</v>
      </c>
      <c r="Q4">
        <v>1</v>
      </c>
      <c r="R4">
        <v>3</v>
      </c>
      <c r="S4">
        <v>1</v>
      </c>
      <c r="T4">
        <v>2</v>
      </c>
      <c r="U4">
        <v>0</v>
      </c>
      <c r="V4">
        <v>1</v>
      </c>
      <c r="W4">
        <v>-5</v>
      </c>
      <c r="X4">
        <v>-4</v>
      </c>
      <c r="Y4">
        <v>-5</v>
      </c>
      <c r="Z4" t="s">
        <v>36</v>
      </c>
      <c r="AA4" t="s">
        <v>36</v>
      </c>
      <c r="AB4" t="s">
        <v>36</v>
      </c>
      <c r="AC4" t="s">
        <v>61</v>
      </c>
      <c r="AD4" t="s">
        <v>36</v>
      </c>
      <c r="AE4" t="s">
        <v>62</v>
      </c>
      <c r="AF4" t="s">
        <v>63</v>
      </c>
      <c r="AG4" s="1" t="s">
        <v>64</v>
      </c>
    </row>
    <row r="5" spans="1:33" ht="15" customHeight="1" x14ac:dyDescent="0.25">
      <c r="A5" t="s">
        <v>65</v>
      </c>
      <c r="B5" t="s">
        <v>55</v>
      </c>
      <c r="C5">
        <v>0.25</v>
      </c>
      <c r="D5" t="s">
        <v>66</v>
      </c>
      <c r="E5" t="s">
        <v>57</v>
      </c>
      <c r="F5" t="s">
        <v>36</v>
      </c>
      <c r="G5" t="s">
        <v>58</v>
      </c>
      <c r="H5">
        <v>17</v>
      </c>
      <c r="I5">
        <v>4</v>
      </c>
      <c r="J5" t="s">
        <v>67</v>
      </c>
      <c r="K5">
        <v>14</v>
      </c>
      <c r="L5" t="s">
        <v>68</v>
      </c>
      <c r="M5">
        <v>5</v>
      </c>
      <c r="N5">
        <v>12</v>
      </c>
      <c r="O5">
        <v>15</v>
      </c>
      <c r="P5">
        <v>11</v>
      </c>
      <c r="Q5">
        <v>1</v>
      </c>
      <c r="R5">
        <v>5</v>
      </c>
      <c r="S5">
        <v>1</v>
      </c>
      <c r="T5">
        <v>1</v>
      </c>
      <c r="U5">
        <v>4</v>
      </c>
      <c r="V5">
        <v>0</v>
      </c>
      <c r="W5">
        <v>-5</v>
      </c>
      <c r="X5">
        <v>-3</v>
      </c>
      <c r="Y5">
        <v>-5</v>
      </c>
      <c r="Z5" t="s">
        <v>36</v>
      </c>
      <c r="AA5" t="s">
        <v>36</v>
      </c>
      <c r="AB5" t="s">
        <v>36</v>
      </c>
      <c r="AC5" t="s">
        <v>61</v>
      </c>
      <c r="AD5" t="s">
        <v>36</v>
      </c>
      <c r="AE5" t="s">
        <v>69</v>
      </c>
      <c r="AF5" t="s">
        <v>63</v>
      </c>
      <c r="AG5" s="1" t="s">
        <v>70</v>
      </c>
    </row>
    <row r="6" spans="1:33" ht="15" customHeight="1" x14ac:dyDescent="0.25">
      <c r="A6" t="s">
        <v>71</v>
      </c>
      <c r="B6" t="s">
        <v>55</v>
      </c>
      <c r="C6">
        <v>2</v>
      </c>
      <c r="D6" t="s">
        <v>34</v>
      </c>
      <c r="E6" t="s">
        <v>57</v>
      </c>
      <c r="F6" t="s">
        <v>36</v>
      </c>
      <c r="G6" t="s">
        <v>58</v>
      </c>
      <c r="H6">
        <v>12</v>
      </c>
      <c r="I6">
        <v>4</v>
      </c>
      <c r="J6" t="s">
        <v>72</v>
      </c>
      <c r="K6">
        <v>27</v>
      </c>
      <c r="L6" t="s">
        <v>73</v>
      </c>
      <c r="M6">
        <v>10</v>
      </c>
      <c r="N6">
        <v>17</v>
      </c>
      <c r="O6">
        <v>14</v>
      </c>
      <c r="P6">
        <v>10</v>
      </c>
      <c r="Q6">
        <v>1</v>
      </c>
      <c r="R6">
        <v>3</v>
      </c>
      <c r="S6">
        <v>1</v>
      </c>
      <c r="T6">
        <v>3</v>
      </c>
      <c r="U6">
        <v>2</v>
      </c>
      <c r="V6">
        <v>0</v>
      </c>
      <c r="W6">
        <v>-5</v>
      </c>
      <c r="X6">
        <v>-4</v>
      </c>
      <c r="Y6">
        <v>-5</v>
      </c>
      <c r="Z6" t="s">
        <v>36</v>
      </c>
      <c r="AA6" t="s">
        <v>36</v>
      </c>
      <c r="AB6" t="s">
        <v>36</v>
      </c>
      <c r="AC6" t="s">
        <v>61</v>
      </c>
      <c r="AD6" t="s">
        <v>36</v>
      </c>
      <c r="AE6" t="s">
        <v>62</v>
      </c>
      <c r="AF6" t="s">
        <v>63</v>
      </c>
      <c r="AG6" s="1" t="s">
        <v>74</v>
      </c>
    </row>
    <row r="7" spans="1:33" ht="15" customHeight="1" x14ac:dyDescent="0.25">
      <c r="A7" t="s">
        <v>75</v>
      </c>
      <c r="B7" t="s">
        <v>75</v>
      </c>
      <c r="C7">
        <v>2</v>
      </c>
      <c r="D7" t="s">
        <v>34</v>
      </c>
      <c r="E7" t="s">
        <v>76</v>
      </c>
      <c r="F7" t="s">
        <v>36</v>
      </c>
      <c r="G7" t="s">
        <v>58</v>
      </c>
      <c r="H7">
        <v>14</v>
      </c>
      <c r="I7">
        <v>0</v>
      </c>
      <c r="J7" t="s">
        <v>77</v>
      </c>
      <c r="K7">
        <v>45</v>
      </c>
      <c r="L7" t="s">
        <v>78</v>
      </c>
      <c r="M7">
        <v>30</v>
      </c>
      <c r="N7">
        <v>17</v>
      </c>
      <c r="O7">
        <v>11</v>
      </c>
      <c r="P7">
        <v>14</v>
      </c>
      <c r="Q7">
        <v>1</v>
      </c>
      <c r="R7">
        <v>13</v>
      </c>
      <c r="S7">
        <v>6</v>
      </c>
      <c r="T7">
        <v>3</v>
      </c>
      <c r="U7">
        <v>0</v>
      </c>
      <c r="V7">
        <v>2</v>
      </c>
      <c r="W7">
        <v>-5</v>
      </c>
      <c r="X7">
        <v>1</v>
      </c>
      <c r="Y7">
        <v>-2</v>
      </c>
      <c r="Z7" t="s">
        <v>36</v>
      </c>
      <c r="AA7" t="s">
        <v>36</v>
      </c>
      <c r="AB7" t="s">
        <v>36</v>
      </c>
      <c r="AC7" t="s">
        <v>36</v>
      </c>
      <c r="AD7" t="s">
        <v>36</v>
      </c>
      <c r="AE7" t="s">
        <v>79</v>
      </c>
      <c r="AF7" t="s">
        <v>63</v>
      </c>
      <c r="AG7" s="1" t="s">
        <v>80</v>
      </c>
    </row>
    <row r="8" spans="1:33" ht="15" customHeight="1" x14ac:dyDescent="0.25">
      <c r="A8" t="s">
        <v>81</v>
      </c>
      <c r="B8" t="s">
        <v>81</v>
      </c>
      <c r="C8">
        <v>8</v>
      </c>
      <c r="D8" t="s">
        <v>82</v>
      </c>
      <c r="E8" t="s">
        <v>83</v>
      </c>
      <c r="F8" t="s">
        <v>36</v>
      </c>
      <c r="G8" t="s">
        <v>46</v>
      </c>
      <c r="H8">
        <v>16</v>
      </c>
      <c r="I8">
        <v>10</v>
      </c>
      <c r="J8" t="s">
        <v>84</v>
      </c>
      <c r="K8">
        <v>97</v>
      </c>
      <c r="L8" t="s">
        <v>85</v>
      </c>
      <c r="M8">
        <v>30</v>
      </c>
      <c r="N8">
        <v>11</v>
      </c>
      <c r="O8">
        <v>18</v>
      </c>
      <c r="P8">
        <v>14</v>
      </c>
      <c r="Q8">
        <v>16</v>
      </c>
      <c r="R8">
        <v>11</v>
      </c>
      <c r="S8">
        <v>10</v>
      </c>
      <c r="T8">
        <v>0</v>
      </c>
      <c r="U8">
        <v>7</v>
      </c>
      <c r="V8">
        <v>2</v>
      </c>
      <c r="W8">
        <v>6</v>
      </c>
      <c r="X8">
        <v>0</v>
      </c>
      <c r="Y8">
        <v>0</v>
      </c>
      <c r="Z8" t="s">
        <v>86</v>
      </c>
      <c r="AA8" t="s">
        <v>87</v>
      </c>
      <c r="AB8" t="s">
        <v>36</v>
      </c>
      <c r="AC8" t="s">
        <v>36</v>
      </c>
      <c r="AD8" t="s">
        <v>88</v>
      </c>
      <c r="AE8" t="s">
        <v>89</v>
      </c>
      <c r="AF8" t="s">
        <v>90</v>
      </c>
      <c r="AG8" s="1" t="s">
        <v>91</v>
      </c>
    </row>
    <row r="9" spans="1:33" ht="15" customHeight="1" x14ac:dyDescent="0.25">
      <c r="A9" t="s">
        <v>92</v>
      </c>
      <c r="B9" t="s">
        <v>93</v>
      </c>
      <c r="C9">
        <v>0</v>
      </c>
      <c r="D9" t="s">
        <v>66</v>
      </c>
      <c r="E9" t="s">
        <v>94</v>
      </c>
      <c r="F9" t="s">
        <v>36</v>
      </c>
      <c r="G9" t="s">
        <v>46</v>
      </c>
      <c r="H9">
        <v>9</v>
      </c>
      <c r="I9">
        <v>-1</v>
      </c>
      <c r="J9" t="s">
        <v>95</v>
      </c>
      <c r="K9">
        <v>10</v>
      </c>
      <c r="L9" t="s">
        <v>96</v>
      </c>
      <c r="M9">
        <v>20</v>
      </c>
      <c r="N9">
        <v>3</v>
      </c>
      <c r="O9">
        <v>8</v>
      </c>
      <c r="P9">
        <v>11</v>
      </c>
      <c r="Q9">
        <v>10</v>
      </c>
      <c r="R9">
        <v>10</v>
      </c>
      <c r="S9">
        <v>6</v>
      </c>
      <c r="T9">
        <v>-4</v>
      </c>
      <c r="U9">
        <v>-1</v>
      </c>
      <c r="V9">
        <v>0</v>
      </c>
      <c r="W9">
        <v>0</v>
      </c>
      <c r="X9">
        <v>0</v>
      </c>
      <c r="Y9">
        <v>-2</v>
      </c>
      <c r="Z9" t="s">
        <v>36</v>
      </c>
      <c r="AA9" t="s">
        <v>97</v>
      </c>
      <c r="AB9" t="s">
        <v>98</v>
      </c>
      <c r="AC9" t="s">
        <v>36</v>
      </c>
      <c r="AD9" t="s">
        <v>36</v>
      </c>
      <c r="AE9" t="s">
        <v>99</v>
      </c>
      <c r="AF9" t="s">
        <v>100</v>
      </c>
      <c r="AG9" s="1" t="s">
        <v>101</v>
      </c>
    </row>
    <row r="10" spans="1:33" ht="15" customHeight="1" x14ac:dyDescent="0.25">
      <c r="A10" t="s">
        <v>102</v>
      </c>
      <c r="B10" t="s">
        <v>93</v>
      </c>
      <c r="C10">
        <v>2</v>
      </c>
      <c r="D10" t="s">
        <v>103</v>
      </c>
      <c r="E10" t="s">
        <v>94</v>
      </c>
      <c r="F10" t="s">
        <v>36</v>
      </c>
      <c r="G10" t="s">
        <v>46</v>
      </c>
      <c r="H10">
        <v>13</v>
      </c>
      <c r="I10">
        <v>-2</v>
      </c>
      <c r="J10" t="s">
        <v>104</v>
      </c>
      <c r="K10">
        <v>59</v>
      </c>
      <c r="L10" t="s">
        <v>96</v>
      </c>
      <c r="M10">
        <v>20</v>
      </c>
      <c r="N10">
        <v>19</v>
      </c>
      <c r="O10">
        <v>6</v>
      </c>
      <c r="P10">
        <v>15</v>
      </c>
      <c r="Q10">
        <v>10</v>
      </c>
      <c r="R10">
        <v>10</v>
      </c>
      <c r="S10">
        <v>7</v>
      </c>
      <c r="T10">
        <v>4</v>
      </c>
      <c r="U10">
        <v>-2</v>
      </c>
      <c r="V10">
        <v>2</v>
      </c>
      <c r="W10">
        <v>0</v>
      </c>
      <c r="X10">
        <v>0</v>
      </c>
      <c r="Y10">
        <v>-2</v>
      </c>
      <c r="Z10" t="s">
        <v>36</v>
      </c>
      <c r="AA10" t="s">
        <v>105</v>
      </c>
      <c r="AB10" t="s">
        <v>98</v>
      </c>
      <c r="AC10" t="s">
        <v>36</v>
      </c>
      <c r="AD10" t="s">
        <v>36</v>
      </c>
      <c r="AE10" t="s">
        <v>99</v>
      </c>
      <c r="AF10" t="s">
        <v>100</v>
      </c>
      <c r="AG10" s="1" t="s">
        <v>106</v>
      </c>
    </row>
    <row r="11" spans="1:33" ht="15" customHeight="1" x14ac:dyDescent="0.25">
      <c r="A11" t="s">
        <v>107</v>
      </c>
      <c r="B11" t="s">
        <v>107</v>
      </c>
      <c r="C11">
        <v>0.25</v>
      </c>
      <c r="D11" t="s">
        <v>34</v>
      </c>
      <c r="E11" t="s">
        <v>76</v>
      </c>
      <c r="F11" t="s">
        <v>36</v>
      </c>
      <c r="G11" t="s">
        <v>58</v>
      </c>
      <c r="H11">
        <v>11</v>
      </c>
      <c r="I11">
        <v>1</v>
      </c>
      <c r="J11" t="s">
        <v>108</v>
      </c>
      <c r="K11">
        <v>19</v>
      </c>
      <c r="L11" t="s">
        <v>109</v>
      </c>
      <c r="M11">
        <v>50</v>
      </c>
      <c r="N11">
        <v>14</v>
      </c>
      <c r="O11">
        <v>12</v>
      </c>
      <c r="P11">
        <v>12</v>
      </c>
      <c r="Q11">
        <v>2</v>
      </c>
      <c r="R11">
        <v>10</v>
      </c>
      <c r="S11">
        <v>5</v>
      </c>
      <c r="T11">
        <v>2</v>
      </c>
      <c r="U11">
        <v>1</v>
      </c>
      <c r="V11">
        <v>1</v>
      </c>
      <c r="W11">
        <v>-4</v>
      </c>
      <c r="X11">
        <v>0</v>
      </c>
      <c r="Y11">
        <v>-3</v>
      </c>
      <c r="Z11" t="s">
        <v>36</v>
      </c>
      <c r="AA11" t="s">
        <v>36</v>
      </c>
      <c r="AB11" t="s">
        <v>36</v>
      </c>
      <c r="AC11" t="s">
        <v>36</v>
      </c>
      <c r="AD11" t="s">
        <v>36</v>
      </c>
      <c r="AE11" t="s">
        <v>99</v>
      </c>
      <c r="AF11" t="s">
        <v>63</v>
      </c>
      <c r="AG11" s="1" t="s">
        <v>110</v>
      </c>
    </row>
    <row r="12" spans="1:33" ht="15" customHeight="1" x14ac:dyDescent="0.25">
      <c r="A12" t="s">
        <v>111</v>
      </c>
      <c r="B12" t="s">
        <v>112</v>
      </c>
      <c r="C12">
        <v>2</v>
      </c>
      <c r="D12" t="s">
        <v>56</v>
      </c>
      <c r="E12" t="s">
        <v>45</v>
      </c>
      <c r="F12" t="s">
        <v>36</v>
      </c>
      <c r="G12" t="s">
        <v>113</v>
      </c>
      <c r="H12">
        <v>17</v>
      </c>
      <c r="I12">
        <v>1</v>
      </c>
      <c r="J12" t="s">
        <v>114</v>
      </c>
      <c r="K12">
        <v>39</v>
      </c>
      <c r="L12" t="s">
        <v>85</v>
      </c>
      <c r="M12">
        <v>30</v>
      </c>
      <c r="N12">
        <v>17</v>
      </c>
      <c r="O12">
        <v>12</v>
      </c>
      <c r="P12">
        <v>15</v>
      </c>
      <c r="Q12">
        <v>12</v>
      </c>
      <c r="R12">
        <v>13</v>
      </c>
      <c r="S12">
        <v>10</v>
      </c>
      <c r="T12">
        <v>3</v>
      </c>
      <c r="U12">
        <v>1</v>
      </c>
      <c r="V12">
        <v>4</v>
      </c>
      <c r="W12">
        <v>1</v>
      </c>
      <c r="X12">
        <v>1</v>
      </c>
      <c r="Y12">
        <v>0</v>
      </c>
      <c r="Z12" t="s">
        <v>36</v>
      </c>
      <c r="AA12" t="s">
        <v>36</v>
      </c>
      <c r="AB12" t="s">
        <v>36</v>
      </c>
      <c r="AC12" t="s">
        <v>115</v>
      </c>
      <c r="AD12" t="s">
        <v>36</v>
      </c>
      <c r="AE12" t="s">
        <v>116</v>
      </c>
      <c r="AF12" t="s">
        <v>117</v>
      </c>
      <c r="AG12" s="1" t="s">
        <v>118</v>
      </c>
    </row>
    <row r="13" spans="1:33" ht="15" customHeight="1" x14ac:dyDescent="0.25">
      <c r="A13" t="s">
        <v>119</v>
      </c>
      <c r="B13" t="s">
        <v>119</v>
      </c>
      <c r="C13">
        <v>19</v>
      </c>
      <c r="D13" t="s">
        <v>103</v>
      </c>
      <c r="E13" t="s">
        <v>120</v>
      </c>
      <c r="F13" t="s">
        <v>121</v>
      </c>
      <c r="G13" t="s">
        <v>122</v>
      </c>
      <c r="H13">
        <v>19</v>
      </c>
      <c r="I13">
        <v>14</v>
      </c>
      <c r="J13" t="s">
        <v>123</v>
      </c>
      <c r="K13">
        <v>287</v>
      </c>
      <c r="L13" t="s">
        <v>124</v>
      </c>
      <c r="M13">
        <v>40</v>
      </c>
      <c r="N13">
        <v>26</v>
      </c>
      <c r="O13">
        <v>15</v>
      </c>
      <c r="P13">
        <v>22</v>
      </c>
      <c r="Q13">
        <v>20</v>
      </c>
      <c r="R13">
        <v>16</v>
      </c>
      <c r="S13">
        <v>22</v>
      </c>
      <c r="T13">
        <v>8</v>
      </c>
      <c r="U13">
        <v>2</v>
      </c>
      <c r="V13">
        <v>12</v>
      </c>
      <c r="W13">
        <v>5</v>
      </c>
      <c r="X13">
        <v>9</v>
      </c>
      <c r="Y13">
        <v>6</v>
      </c>
      <c r="Z13" t="s">
        <v>125</v>
      </c>
      <c r="AA13" t="s">
        <v>126</v>
      </c>
      <c r="AB13" t="s">
        <v>36</v>
      </c>
      <c r="AC13" t="s">
        <v>127</v>
      </c>
      <c r="AD13" t="s">
        <v>36</v>
      </c>
      <c r="AE13" t="s">
        <v>128</v>
      </c>
      <c r="AF13" t="s">
        <v>129</v>
      </c>
      <c r="AG13" s="1" t="s">
        <v>130</v>
      </c>
    </row>
    <row r="14" spans="1:33" ht="15" customHeight="1" x14ac:dyDescent="0.25">
      <c r="A14" t="s">
        <v>131</v>
      </c>
      <c r="B14" t="s">
        <v>132</v>
      </c>
      <c r="C14">
        <v>0.125</v>
      </c>
      <c r="D14" t="s">
        <v>82</v>
      </c>
      <c r="E14" t="s">
        <v>83</v>
      </c>
      <c r="F14" t="s">
        <v>36</v>
      </c>
      <c r="G14" t="s">
        <v>46</v>
      </c>
      <c r="H14">
        <v>12</v>
      </c>
      <c r="I14">
        <v>1</v>
      </c>
      <c r="J14" t="s">
        <v>133</v>
      </c>
      <c r="K14">
        <v>11</v>
      </c>
      <c r="L14" t="s">
        <v>85</v>
      </c>
      <c r="M14">
        <v>30</v>
      </c>
      <c r="N14">
        <v>11</v>
      </c>
      <c r="O14">
        <v>12</v>
      </c>
      <c r="P14">
        <v>12</v>
      </c>
      <c r="Q14">
        <v>10</v>
      </c>
      <c r="R14">
        <v>10</v>
      </c>
      <c r="S14">
        <v>10</v>
      </c>
      <c r="T14">
        <v>0</v>
      </c>
      <c r="U14">
        <v>1</v>
      </c>
      <c r="V14">
        <v>1</v>
      </c>
      <c r="W14">
        <v>0</v>
      </c>
      <c r="X14">
        <v>0</v>
      </c>
      <c r="Y14">
        <v>0</v>
      </c>
      <c r="Z14" t="s">
        <v>36</v>
      </c>
      <c r="AA14" t="s">
        <v>36</v>
      </c>
      <c r="AB14" t="s">
        <v>36</v>
      </c>
      <c r="AC14" t="s">
        <v>36</v>
      </c>
      <c r="AD14" t="s">
        <v>134</v>
      </c>
      <c r="AE14" t="s">
        <v>99</v>
      </c>
      <c r="AF14" t="s">
        <v>90</v>
      </c>
      <c r="AG14" s="1" t="s">
        <v>135</v>
      </c>
    </row>
    <row r="15" spans="1:33" ht="15" customHeight="1" x14ac:dyDescent="0.25">
      <c r="A15" t="s">
        <v>136</v>
      </c>
      <c r="B15" t="s">
        <v>132</v>
      </c>
      <c r="C15">
        <v>2</v>
      </c>
      <c r="D15" t="s">
        <v>82</v>
      </c>
      <c r="E15" t="s">
        <v>83</v>
      </c>
      <c r="F15" t="s">
        <v>36</v>
      </c>
      <c r="G15" t="s">
        <v>46</v>
      </c>
      <c r="H15">
        <v>15</v>
      </c>
      <c r="I15">
        <v>3</v>
      </c>
      <c r="J15" t="s">
        <v>137</v>
      </c>
      <c r="K15">
        <v>52</v>
      </c>
      <c r="L15" t="s">
        <v>85</v>
      </c>
      <c r="M15">
        <v>30</v>
      </c>
      <c r="N15">
        <v>15</v>
      </c>
      <c r="O15">
        <v>16</v>
      </c>
      <c r="P15">
        <v>14</v>
      </c>
      <c r="Q15">
        <v>14</v>
      </c>
      <c r="R15">
        <v>11</v>
      </c>
      <c r="S15">
        <v>14</v>
      </c>
      <c r="T15">
        <v>4</v>
      </c>
      <c r="U15">
        <v>5</v>
      </c>
      <c r="V15">
        <v>2</v>
      </c>
      <c r="W15">
        <v>2</v>
      </c>
      <c r="X15">
        <v>2</v>
      </c>
      <c r="Y15">
        <v>2</v>
      </c>
      <c r="Z15" t="s">
        <v>138</v>
      </c>
      <c r="AA15" t="s">
        <v>36</v>
      </c>
      <c r="AB15" t="s">
        <v>36</v>
      </c>
      <c r="AC15" t="s">
        <v>36</v>
      </c>
      <c r="AD15" t="s">
        <v>139</v>
      </c>
      <c r="AE15" t="s">
        <v>99</v>
      </c>
      <c r="AF15" t="s">
        <v>90</v>
      </c>
      <c r="AG15" s="1" t="s">
        <v>140</v>
      </c>
    </row>
    <row r="16" spans="1:33" ht="15" customHeight="1" x14ac:dyDescent="0.25">
      <c r="A16" t="s">
        <v>141</v>
      </c>
      <c r="B16" t="s">
        <v>141</v>
      </c>
      <c r="C16">
        <v>5</v>
      </c>
      <c r="D16" t="s">
        <v>56</v>
      </c>
      <c r="E16" t="s">
        <v>120</v>
      </c>
      <c r="F16" t="s">
        <v>142</v>
      </c>
      <c r="G16" t="s">
        <v>37</v>
      </c>
      <c r="H16">
        <v>15</v>
      </c>
      <c r="I16">
        <v>3</v>
      </c>
      <c r="J16" t="s">
        <v>143</v>
      </c>
      <c r="K16">
        <v>110</v>
      </c>
      <c r="L16" t="s">
        <v>144</v>
      </c>
      <c r="M16">
        <v>30</v>
      </c>
      <c r="N16">
        <v>16</v>
      </c>
      <c r="O16">
        <v>17</v>
      </c>
      <c r="P16">
        <v>18</v>
      </c>
      <c r="Q16">
        <v>12</v>
      </c>
      <c r="R16">
        <v>14</v>
      </c>
      <c r="S16">
        <v>14</v>
      </c>
      <c r="T16">
        <v>6</v>
      </c>
      <c r="U16">
        <v>3</v>
      </c>
      <c r="V16">
        <v>7</v>
      </c>
      <c r="W16">
        <v>1</v>
      </c>
      <c r="X16">
        <v>5</v>
      </c>
      <c r="Y16">
        <v>5</v>
      </c>
      <c r="Z16" t="s">
        <v>145</v>
      </c>
      <c r="AA16" t="s">
        <v>146</v>
      </c>
      <c r="AB16" t="s">
        <v>36</v>
      </c>
      <c r="AC16" t="s">
        <v>115</v>
      </c>
      <c r="AD16" t="s">
        <v>36</v>
      </c>
      <c r="AE16" t="s">
        <v>147</v>
      </c>
      <c r="AF16" t="s">
        <v>148</v>
      </c>
      <c r="AG16" s="1" t="s">
        <v>149</v>
      </c>
    </row>
    <row r="17" spans="1:33" ht="15" customHeight="1" x14ac:dyDescent="0.25">
      <c r="A17" t="s">
        <v>150</v>
      </c>
      <c r="B17" t="s">
        <v>150</v>
      </c>
      <c r="C17">
        <v>3</v>
      </c>
      <c r="D17" t="s">
        <v>56</v>
      </c>
      <c r="E17" t="s">
        <v>76</v>
      </c>
      <c r="F17" t="s">
        <v>36</v>
      </c>
      <c r="G17" t="s">
        <v>58</v>
      </c>
      <c r="H17">
        <v>15</v>
      </c>
      <c r="I17">
        <v>-1</v>
      </c>
      <c r="J17" t="s">
        <v>137</v>
      </c>
      <c r="K17">
        <v>52</v>
      </c>
      <c r="L17" t="s">
        <v>96</v>
      </c>
      <c r="M17">
        <v>20</v>
      </c>
      <c r="N17">
        <v>16</v>
      </c>
      <c r="O17">
        <v>8</v>
      </c>
      <c r="P17">
        <v>15</v>
      </c>
      <c r="Q17">
        <v>2</v>
      </c>
      <c r="R17">
        <v>8</v>
      </c>
      <c r="S17">
        <v>7</v>
      </c>
      <c r="T17">
        <v>3</v>
      </c>
      <c r="U17">
        <v>-1</v>
      </c>
      <c r="V17">
        <v>2</v>
      </c>
      <c r="W17">
        <v>-4</v>
      </c>
      <c r="X17">
        <v>-1</v>
      </c>
      <c r="Y17">
        <v>-2</v>
      </c>
      <c r="Z17" t="s">
        <v>36</v>
      </c>
      <c r="AA17" t="s">
        <v>36</v>
      </c>
      <c r="AB17" t="s">
        <v>36</v>
      </c>
      <c r="AC17" t="s">
        <v>36</v>
      </c>
      <c r="AD17" t="s">
        <v>36</v>
      </c>
      <c r="AE17" t="s">
        <v>151</v>
      </c>
      <c r="AF17" t="s">
        <v>63</v>
      </c>
      <c r="AG17" s="1" t="s">
        <v>152</v>
      </c>
    </row>
    <row r="18" spans="1:33" ht="15" customHeight="1" x14ac:dyDescent="0.25">
      <c r="A18" t="s">
        <v>153</v>
      </c>
      <c r="B18" t="s">
        <v>153</v>
      </c>
      <c r="C18">
        <v>3</v>
      </c>
      <c r="D18" t="s">
        <v>56</v>
      </c>
      <c r="E18" t="s">
        <v>120</v>
      </c>
      <c r="F18" t="s">
        <v>142</v>
      </c>
      <c r="G18" t="s">
        <v>37</v>
      </c>
      <c r="H18">
        <v>13</v>
      </c>
      <c r="I18">
        <v>2</v>
      </c>
      <c r="J18" t="s">
        <v>154</v>
      </c>
      <c r="K18">
        <v>58</v>
      </c>
      <c r="L18" t="s">
        <v>85</v>
      </c>
      <c r="M18">
        <v>30</v>
      </c>
      <c r="N18">
        <v>16</v>
      </c>
      <c r="O18">
        <v>15</v>
      </c>
      <c r="P18">
        <v>15</v>
      </c>
      <c r="Q18">
        <v>9</v>
      </c>
      <c r="R18">
        <v>11</v>
      </c>
      <c r="S18">
        <v>14</v>
      </c>
      <c r="T18">
        <v>5</v>
      </c>
      <c r="U18">
        <v>2</v>
      </c>
      <c r="V18">
        <v>4</v>
      </c>
      <c r="W18">
        <v>-1</v>
      </c>
      <c r="X18">
        <v>0</v>
      </c>
      <c r="Y18">
        <v>4</v>
      </c>
      <c r="Z18" t="s">
        <v>36</v>
      </c>
      <c r="AA18" t="s">
        <v>146</v>
      </c>
      <c r="AB18" t="s">
        <v>36</v>
      </c>
      <c r="AC18" t="s">
        <v>155</v>
      </c>
      <c r="AD18" t="s">
        <v>36</v>
      </c>
      <c r="AE18" t="s">
        <v>156</v>
      </c>
      <c r="AF18" t="s">
        <v>148</v>
      </c>
      <c r="AG18" s="1" t="s">
        <v>157</v>
      </c>
    </row>
    <row r="19" spans="1:33" ht="15" customHeight="1" x14ac:dyDescent="0.25">
      <c r="A19" t="s">
        <v>158</v>
      </c>
      <c r="B19" t="s">
        <v>158</v>
      </c>
      <c r="C19">
        <v>11</v>
      </c>
      <c r="D19" t="s">
        <v>103</v>
      </c>
      <c r="E19" t="s">
        <v>76</v>
      </c>
      <c r="F19" t="s">
        <v>36</v>
      </c>
      <c r="G19" t="s">
        <v>159</v>
      </c>
      <c r="H19">
        <v>17</v>
      </c>
      <c r="I19">
        <v>3</v>
      </c>
      <c r="J19" t="s">
        <v>160</v>
      </c>
      <c r="K19">
        <v>168</v>
      </c>
      <c r="L19" t="s">
        <v>161</v>
      </c>
      <c r="M19">
        <v>50</v>
      </c>
      <c r="N19">
        <v>23</v>
      </c>
      <c r="O19">
        <v>16</v>
      </c>
      <c r="P19">
        <v>18</v>
      </c>
      <c r="Q19">
        <v>7</v>
      </c>
      <c r="R19">
        <v>14</v>
      </c>
      <c r="S19">
        <v>12</v>
      </c>
      <c r="T19">
        <v>6</v>
      </c>
      <c r="U19">
        <v>3</v>
      </c>
      <c r="V19">
        <v>4</v>
      </c>
      <c r="W19">
        <v>-2</v>
      </c>
      <c r="X19">
        <v>2</v>
      </c>
      <c r="Y19">
        <v>1</v>
      </c>
      <c r="Z19" t="s">
        <v>162</v>
      </c>
      <c r="AA19" t="s">
        <v>36</v>
      </c>
      <c r="AB19" t="s">
        <v>36</v>
      </c>
      <c r="AC19" t="s">
        <v>163</v>
      </c>
      <c r="AD19" t="s">
        <v>36</v>
      </c>
      <c r="AE19" t="s">
        <v>164</v>
      </c>
      <c r="AF19" t="s">
        <v>165</v>
      </c>
      <c r="AG19" s="1" t="s">
        <v>166</v>
      </c>
    </row>
    <row r="20" spans="1:33" ht="15" customHeight="1" x14ac:dyDescent="0.25">
      <c r="A20" t="s">
        <v>167</v>
      </c>
      <c r="B20" t="s">
        <v>167</v>
      </c>
      <c r="C20">
        <v>2</v>
      </c>
      <c r="D20" t="s">
        <v>82</v>
      </c>
      <c r="E20" t="s">
        <v>83</v>
      </c>
      <c r="F20" t="s">
        <v>36</v>
      </c>
      <c r="G20" t="s">
        <v>46</v>
      </c>
      <c r="H20">
        <v>13</v>
      </c>
      <c r="I20">
        <v>1</v>
      </c>
      <c r="J20" t="s">
        <v>168</v>
      </c>
      <c r="K20">
        <v>67</v>
      </c>
      <c r="L20" t="s">
        <v>85</v>
      </c>
      <c r="M20">
        <v>30</v>
      </c>
      <c r="N20">
        <v>16</v>
      </c>
      <c r="O20">
        <v>12</v>
      </c>
      <c r="P20">
        <v>17</v>
      </c>
      <c r="Q20">
        <v>9</v>
      </c>
      <c r="R20">
        <v>11</v>
      </c>
      <c r="S20">
        <v>9</v>
      </c>
      <c r="T20">
        <v>3</v>
      </c>
      <c r="U20">
        <v>1</v>
      </c>
      <c r="V20">
        <v>3</v>
      </c>
      <c r="W20">
        <v>-1</v>
      </c>
      <c r="X20">
        <v>0</v>
      </c>
      <c r="Y20">
        <v>-1</v>
      </c>
      <c r="Z20" t="s">
        <v>36</v>
      </c>
      <c r="AA20" t="s">
        <v>36</v>
      </c>
      <c r="AB20" t="s">
        <v>36</v>
      </c>
      <c r="AC20" t="s">
        <v>36</v>
      </c>
      <c r="AD20" t="s">
        <v>169</v>
      </c>
      <c r="AE20" t="s">
        <v>99</v>
      </c>
      <c r="AF20" t="s">
        <v>170</v>
      </c>
      <c r="AG20" s="1" t="s">
        <v>171</v>
      </c>
    </row>
    <row r="21" spans="1:33" ht="15" customHeight="1" x14ac:dyDescent="0.25">
      <c r="A21" t="s">
        <v>172</v>
      </c>
      <c r="B21" t="s">
        <v>173</v>
      </c>
      <c r="C21">
        <v>2</v>
      </c>
      <c r="D21" t="s">
        <v>56</v>
      </c>
      <c r="E21" t="s">
        <v>174</v>
      </c>
      <c r="F21" t="s">
        <v>175</v>
      </c>
      <c r="G21" t="s">
        <v>122</v>
      </c>
      <c r="H21">
        <v>17</v>
      </c>
      <c r="I21">
        <v>4</v>
      </c>
      <c r="J21" t="s">
        <v>59</v>
      </c>
      <c r="K21">
        <v>33</v>
      </c>
      <c r="L21" t="s">
        <v>176</v>
      </c>
      <c r="M21">
        <v>30</v>
      </c>
      <c r="N21">
        <v>15</v>
      </c>
      <c r="O21">
        <v>14</v>
      </c>
      <c r="P21">
        <v>13</v>
      </c>
      <c r="Q21">
        <v>10</v>
      </c>
      <c r="R21">
        <v>11</v>
      </c>
      <c r="S21">
        <v>13</v>
      </c>
      <c r="T21">
        <v>2</v>
      </c>
      <c r="U21">
        <v>4</v>
      </c>
      <c r="V21">
        <v>1</v>
      </c>
      <c r="W21">
        <v>0</v>
      </c>
      <c r="X21">
        <v>2</v>
      </c>
      <c r="Y21">
        <v>1</v>
      </c>
      <c r="Z21" t="s">
        <v>177</v>
      </c>
      <c r="AA21" t="s">
        <v>36</v>
      </c>
      <c r="AB21" t="s">
        <v>36</v>
      </c>
      <c r="AC21" t="s">
        <v>178</v>
      </c>
      <c r="AD21" t="s">
        <v>36</v>
      </c>
      <c r="AE21" t="s">
        <v>179</v>
      </c>
      <c r="AF21" t="s">
        <v>165</v>
      </c>
      <c r="AG21" s="1" t="s">
        <v>180</v>
      </c>
    </row>
    <row r="22" spans="1:33" ht="15" customHeight="1" x14ac:dyDescent="0.25">
      <c r="A22" t="s">
        <v>181</v>
      </c>
      <c r="B22" t="s">
        <v>173</v>
      </c>
      <c r="C22">
        <v>7</v>
      </c>
      <c r="D22" t="s">
        <v>34</v>
      </c>
      <c r="E22" t="s">
        <v>174</v>
      </c>
      <c r="F22" t="s">
        <v>175</v>
      </c>
      <c r="G22" t="s">
        <v>122</v>
      </c>
      <c r="H22">
        <v>18</v>
      </c>
      <c r="I22">
        <v>5</v>
      </c>
      <c r="J22" t="s">
        <v>182</v>
      </c>
      <c r="K22">
        <v>127</v>
      </c>
      <c r="L22" t="s">
        <v>183</v>
      </c>
      <c r="M22">
        <v>40</v>
      </c>
      <c r="N22">
        <v>19</v>
      </c>
      <c r="O22">
        <v>14</v>
      </c>
      <c r="P22">
        <v>17</v>
      </c>
      <c r="Q22">
        <v>12</v>
      </c>
      <c r="R22">
        <v>11</v>
      </c>
      <c r="S22">
        <v>15</v>
      </c>
      <c r="T22">
        <v>4</v>
      </c>
      <c r="U22">
        <v>5</v>
      </c>
      <c r="V22">
        <v>3</v>
      </c>
      <c r="W22">
        <v>1</v>
      </c>
      <c r="X22">
        <v>3</v>
      </c>
      <c r="Y22">
        <v>2</v>
      </c>
      <c r="Z22" t="s">
        <v>184</v>
      </c>
      <c r="AA22" t="s">
        <v>36</v>
      </c>
      <c r="AB22" t="s">
        <v>36</v>
      </c>
      <c r="AC22" t="s">
        <v>178</v>
      </c>
      <c r="AD22" t="s">
        <v>36</v>
      </c>
      <c r="AE22" t="s">
        <v>185</v>
      </c>
      <c r="AF22" t="s">
        <v>186</v>
      </c>
      <c r="AG22" s="1" t="s">
        <v>187</v>
      </c>
    </row>
    <row r="23" spans="1:33" ht="15" customHeight="1" x14ac:dyDescent="0.25">
      <c r="A23" t="s">
        <v>188</v>
      </c>
      <c r="B23" t="s">
        <v>173</v>
      </c>
      <c r="C23">
        <v>14</v>
      </c>
      <c r="D23" t="s">
        <v>103</v>
      </c>
      <c r="E23" t="s">
        <v>174</v>
      </c>
      <c r="F23" t="s">
        <v>175</v>
      </c>
      <c r="G23" t="s">
        <v>122</v>
      </c>
      <c r="H23">
        <v>19</v>
      </c>
      <c r="I23">
        <v>12</v>
      </c>
      <c r="J23" t="s">
        <v>189</v>
      </c>
      <c r="K23">
        <v>195</v>
      </c>
      <c r="L23" t="s">
        <v>183</v>
      </c>
      <c r="M23">
        <v>40</v>
      </c>
      <c r="N23">
        <v>23</v>
      </c>
      <c r="O23">
        <v>14</v>
      </c>
      <c r="P23">
        <v>21</v>
      </c>
      <c r="Q23">
        <v>14</v>
      </c>
      <c r="R23">
        <v>13</v>
      </c>
      <c r="S23">
        <v>19</v>
      </c>
      <c r="T23">
        <v>6</v>
      </c>
      <c r="U23">
        <v>7</v>
      </c>
      <c r="V23">
        <v>5</v>
      </c>
      <c r="W23">
        <v>2</v>
      </c>
      <c r="X23">
        <v>6</v>
      </c>
      <c r="Y23">
        <v>4</v>
      </c>
      <c r="Z23" t="s">
        <v>190</v>
      </c>
      <c r="AA23" t="s">
        <v>36</v>
      </c>
      <c r="AB23" t="s">
        <v>36</v>
      </c>
      <c r="AC23" t="s">
        <v>178</v>
      </c>
      <c r="AD23" t="s">
        <v>36</v>
      </c>
      <c r="AE23" t="s">
        <v>191</v>
      </c>
      <c r="AF23" t="s">
        <v>186</v>
      </c>
      <c r="AG23" s="1" t="s">
        <v>192</v>
      </c>
    </row>
    <row r="24" spans="1:33" ht="15" customHeight="1" x14ac:dyDescent="0.25">
      <c r="A24" t="s">
        <v>193</v>
      </c>
      <c r="B24" t="s">
        <v>173</v>
      </c>
      <c r="C24">
        <v>21</v>
      </c>
      <c r="D24" t="s">
        <v>194</v>
      </c>
      <c r="E24" t="s">
        <v>174</v>
      </c>
      <c r="F24" t="s">
        <v>175</v>
      </c>
      <c r="G24" t="s">
        <v>122</v>
      </c>
      <c r="H24">
        <v>22</v>
      </c>
      <c r="I24">
        <v>16</v>
      </c>
      <c r="J24" t="s">
        <v>195</v>
      </c>
      <c r="K24">
        <v>367</v>
      </c>
      <c r="L24" t="s">
        <v>183</v>
      </c>
      <c r="M24">
        <v>40</v>
      </c>
      <c r="N24">
        <v>27</v>
      </c>
      <c r="O24">
        <v>14</v>
      </c>
      <c r="P24">
        <v>25</v>
      </c>
      <c r="Q24">
        <v>16</v>
      </c>
      <c r="R24">
        <v>15</v>
      </c>
      <c r="S24">
        <v>22</v>
      </c>
      <c r="T24">
        <v>8</v>
      </c>
      <c r="U24">
        <v>9</v>
      </c>
      <c r="V24">
        <v>7</v>
      </c>
      <c r="W24">
        <v>3</v>
      </c>
      <c r="X24">
        <v>9</v>
      </c>
      <c r="Y24">
        <v>6</v>
      </c>
      <c r="Z24" t="s">
        <v>196</v>
      </c>
      <c r="AA24" t="s">
        <v>36</v>
      </c>
      <c r="AB24" t="s">
        <v>36</v>
      </c>
      <c r="AC24" t="s">
        <v>178</v>
      </c>
      <c r="AD24" t="s">
        <v>36</v>
      </c>
      <c r="AE24" t="s">
        <v>197</v>
      </c>
      <c r="AF24" t="s">
        <v>186</v>
      </c>
      <c r="AG24" s="1" t="s">
        <v>198</v>
      </c>
    </row>
    <row r="25" spans="1:33" ht="15" customHeight="1" x14ac:dyDescent="0.25">
      <c r="A25" t="s">
        <v>199</v>
      </c>
      <c r="B25" t="s">
        <v>199</v>
      </c>
      <c r="C25">
        <v>4</v>
      </c>
      <c r="D25" t="s">
        <v>34</v>
      </c>
      <c r="E25" t="s">
        <v>200</v>
      </c>
      <c r="F25" t="s">
        <v>36</v>
      </c>
      <c r="G25" t="s">
        <v>58</v>
      </c>
      <c r="H25">
        <v>7</v>
      </c>
      <c r="I25">
        <v>-3</v>
      </c>
      <c r="J25" t="s">
        <v>201</v>
      </c>
      <c r="K25">
        <v>68</v>
      </c>
      <c r="L25" t="s">
        <v>202</v>
      </c>
      <c r="M25">
        <v>20</v>
      </c>
      <c r="N25">
        <v>16</v>
      </c>
      <c r="O25">
        <v>5</v>
      </c>
      <c r="P25">
        <v>16</v>
      </c>
      <c r="Q25">
        <v>1</v>
      </c>
      <c r="R25">
        <v>6</v>
      </c>
      <c r="S25">
        <v>1</v>
      </c>
      <c r="T25">
        <v>3</v>
      </c>
      <c r="U25">
        <v>-3</v>
      </c>
      <c r="V25">
        <v>3</v>
      </c>
      <c r="W25">
        <v>-5</v>
      </c>
      <c r="X25">
        <v>-2</v>
      </c>
      <c r="Y25">
        <v>-5</v>
      </c>
      <c r="Z25" t="s">
        <v>36</v>
      </c>
      <c r="AA25" t="s">
        <v>36</v>
      </c>
      <c r="AB25" t="s">
        <v>36</v>
      </c>
      <c r="AC25" t="s">
        <v>203</v>
      </c>
      <c r="AD25" t="s">
        <v>36</v>
      </c>
      <c r="AE25" t="s">
        <v>204</v>
      </c>
      <c r="AF25" t="s">
        <v>63</v>
      </c>
      <c r="AG25" s="1" t="s">
        <v>205</v>
      </c>
    </row>
    <row r="26" spans="1:33" ht="15" customHeight="1" x14ac:dyDescent="0.25">
      <c r="A26" t="s">
        <v>206</v>
      </c>
      <c r="B26" t="s">
        <v>206</v>
      </c>
      <c r="C26">
        <v>0.25</v>
      </c>
      <c r="D26" t="s">
        <v>56</v>
      </c>
      <c r="E26" t="s">
        <v>207</v>
      </c>
      <c r="F26" t="s">
        <v>36</v>
      </c>
      <c r="G26" t="s">
        <v>208</v>
      </c>
      <c r="H26">
        <v>13</v>
      </c>
      <c r="I26">
        <v>3</v>
      </c>
      <c r="J26" t="s">
        <v>209</v>
      </c>
      <c r="K26">
        <v>22</v>
      </c>
      <c r="L26" t="s">
        <v>210</v>
      </c>
      <c r="M26">
        <v>40</v>
      </c>
      <c r="N26">
        <v>12</v>
      </c>
      <c r="O26">
        <v>17</v>
      </c>
      <c r="P26">
        <v>12</v>
      </c>
      <c r="Q26">
        <v>10</v>
      </c>
      <c r="R26">
        <v>13</v>
      </c>
      <c r="S26">
        <v>11</v>
      </c>
      <c r="T26">
        <v>1</v>
      </c>
      <c r="U26">
        <v>3</v>
      </c>
      <c r="V26">
        <v>1</v>
      </c>
      <c r="W26">
        <v>0</v>
      </c>
      <c r="X26">
        <v>1</v>
      </c>
      <c r="Y26">
        <v>0</v>
      </c>
      <c r="Z26" t="s">
        <v>211</v>
      </c>
      <c r="AA26" t="s">
        <v>36</v>
      </c>
      <c r="AB26" t="s">
        <v>36</v>
      </c>
      <c r="AC26" t="s">
        <v>36</v>
      </c>
      <c r="AD26" t="s">
        <v>36</v>
      </c>
      <c r="AE26" t="s">
        <v>212</v>
      </c>
      <c r="AF26" t="s">
        <v>213</v>
      </c>
      <c r="AG26" s="1" t="s">
        <v>214</v>
      </c>
    </row>
    <row r="27" spans="1:33" ht="15" customHeight="1" x14ac:dyDescent="0.25">
      <c r="A27" t="s">
        <v>215</v>
      </c>
      <c r="B27" t="s">
        <v>216</v>
      </c>
      <c r="C27">
        <v>3</v>
      </c>
      <c r="D27" t="s">
        <v>56</v>
      </c>
      <c r="E27" t="s">
        <v>174</v>
      </c>
      <c r="F27" t="s">
        <v>175</v>
      </c>
      <c r="G27" t="s">
        <v>37</v>
      </c>
      <c r="H27">
        <v>17</v>
      </c>
      <c r="I27">
        <v>2</v>
      </c>
      <c r="J27" t="s">
        <v>217</v>
      </c>
      <c r="K27">
        <v>65</v>
      </c>
      <c r="L27" t="s">
        <v>218</v>
      </c>
      <c r="M27">
        <v>30</v>
      </c>
      <c r="N27">
        <v>17</v>
      </c>
      <c r="O27">
        <v>10</v>
      </c>
      <c r="P27">
        <v>15</v>
      </c>
      <c r="Q27">
        <v>12</v>
      </c>
      <c r="R27">
        <v>11</v>
      </c>
      <c r="S27">
        <v>15</v>
      </c>
      <c r="T27">
        <v>3</v>
      </c>
      <c r="U27">
        <v>2</v>
      </c>
      <c r="V27">
        <v>2</v>
      </c>
      <c r="W27">
        <v>1</v>
      </c>
      <c r="X27">
        <v>2</v>
      </c>
      <c r="Y27">
        <v>2</v>
      </c>
      <c r="Z27" t="s">
        <v>219</v>
      </c>
      <c r="AA27" t="s">
        <v>36</v>
      </c>
      <c r="AB27" t="s">
        <v>36</v>
      </c>
      <c r="AC27" t="s">
        <v>163</v>
      </c>
      <c r="AD27" t="s">
        <v>36</v>
      </c>
      <c r="AE27" t="s">
        <v>179</v>
      </c>
      <c r="AF27" t="s">
        <v>165</v>
      </c>
      <c r="AG27" s="1" t="s">
        <v>220</v>
      </c>
    </row>
    <row r="28" spans="1:33" ht="15" customHeight="1" x14ac:dyDescent="0.25">
      <c r="A28" t="s">
        <v>221</v>
      </c>
      <c r="B28" t="s">
        <v>216</v>
      </c>
      <c r="C28">
        <v>9</v>
      </c>
      <c r="D28" t="s">
        <v>34</v>
      </c>
      <c r="E28" t="s">
        <v>174</v>
      </c>
      <c r="F28" t="s">
        <v>175</v>
      </c>
      <c r="G28" t="s">
        <v>37</v>
      </c>
      <c r="H28">
        <v>18</v>
      </c>
      <c r="I28">
        <v>4</v>
      </c>
      <c r="J28" t="s">
        <v>222</v>
      </c>
      <c r="K28">
        <v>152</v>
      </c>
      <c r="L28" t="s">
        <v>223</v>
      </c>
      <c r="M28">
        <v>40</v>
      </c>
      <c r="N28">
        <v>21</v>
      </c>
      <c r="O28">
        <v>10</v>
      </c>
      <c r="P28">
        <v>19</v>
      </c>
      <c r="Q28">
        <v>14</v>
      </c>
      <c r="R28">
        <v>13</v>
      </c>
      <c r="S28">
        <v>17</v>
      </c>
      <c r="T28">
        <v>5</v>
      </c>
      <c r="U28">
        <v>4</v>
      </c>
      <c r="V28">
        <v>4</v>
      </c>
      <c r="W28">
        <v>2</v>
      </c>
      <c r="X28">
        <v>5</v>
      </c>
      <c r="Y28">
        <v>3</v>
      </c>
      <c r="Z28" t="s">
        <v>224</v>
      </c>
      <c r="AA28" t="s">
        <v>36</v>
      </c>
      <c r="AB28" t="s">
        <v>36</v>
      </c>
      <c r="AC28" t="s">
        <v>163</v>
      </c>
      <c r="AD28" t="s">
        <v>36</v>
      </c>
      <c r="AE28" t="s">
        <v>225</v>
      </c>
      <c r="AF28" t="s">
        <v>186</v>
      </c>
      <c r="AG28" s="1" t="s">
        <v>226</v>
      </c>
    </row>
    <row r="29" spans="1:33" ht="15" customHeight="1" x14ac:dyDescent="0.25">
      <c r="A29" t="s">
        <v>227</v>
      </c>
      <c r="B29" t="s">
        <v>216</v>
      </c>
      <c r="C29">
        <v>16</v>
      </c>
      <c r="D29" t="s">
        <v>103</v>
      </c>
      <c r="E29" t="s">
        <v>174</v>
      </c>
      <c r="F29" t="s">
        <v>175</v>
      </c>
      <c r="G29" t="s">
        <v>37</v>
      </c>
      <c r="H29">
        <v>19</v>
      </c>
      <c r="I29">
        <v>10</v>
      </c>
      <c r="J29" t="s">
        <v>228</v>
      </c>
      <c r="K29">
        <v>212</v>
      </c>
      <c r="L29" t="s">
        <v>229</v>
      </c>
      <c r="M29">
        <v>40</v>
      </c>
      <c r="N29">
        <v>25</v>
      </c>
      <c r="O29">
        <v>10</v>
      </c>
      <c r="P29">
        <v>23</v>
      </c>
      <c r="Q29">
        <v>16</v>
      </c>
      <c r="R29">
        <v>15</v>
      </c>
      <c r="S29">
        <v>20</v>
      </c>
      <c r="T29">
        <v>7</v>
      </c>
      <c r="U29">
        <v>5</v>
      </c>
      <c r="V29">
        <v>6</v>
      </c>
      <c r="W29">
        <v>3</v>
      </c>
      <c r="X29">
        <v>7</v>
      </c>
      <c r="Y29">
        <v>5</v>
      </c>
      <c r="Z29" t="s">
        <v>230</v>
      </c>
      <c r="AA29" t="s">
        <v>36</v>
      </c>
      <c r="AB29" t="s">
        <v>36</v>
      </c>
      <c r="AC29" t="s">
        <v>163</v>
      </c>
      <c r="AD29" t="s">
        <v>36</v>
      </c>
      <c r="AE29" t="s">
        <v>231</v>
      </c>
      <c r="AF29" t="s">
        <v>186</v>
      </c>
      <c r="AG29" s="1" t="s">
        <v>232</v>
      </c>
    </row>
    <row r="30" spans="1:33" ht="15" customHeight="1" x14ac:dyDescent="0.25">
      <c r="A30" t="s">
        <v>233</v>
      </c>
      <c r="B30" t="s">
        <v>216</v>
      </c>
      <c r="C30">
        <v>23</v>
      </c>
      <c r="D30" t="s">
        <v>194</v>
      </c>
      <c r="E30" t="s">
        <v>174</v>
      </c>
      <c r="F30" t="s">
        <v>175</v>
      </c>
      <c r="G30" t="s">
        <v>37</v>
      </c>
      <c r="H30">
        <v>22</v>
      </c>
      <c r="I30">
        <v>14</v>
      </c>
      <c r="J30" t="s">
        <v>234</v>
      </c>
      <c r="K30">
        <v>481</v>
      </c>
      <c r="L30" t="s">
        <v>235</v>
      </c>
      <c r="M30">
        <v>40</v>
      </c>
      <c r="N30">
        <v>29</v>
      </c>
      <c r="O30">
        <v>10</v>
      </c>
      <c r="P30">
        <v>27</v>
      </c>
      <c r="Q30">
        <v>18</v>
      </c>
      <c r="R30">
        <v>17</v>
      </c>
      <c r="S30">
        <v>25</v>
      </c>
      <c r="T30">
        <v>9</v>
      </c>
      <c r="U30">
        <v>7</v>
      </c>
      <c r="V30">
        <v>8</v>
      </c>
      <c r="W30">
        <v>4</v>
      </c>
      <c r="X30">
        <v>10</v>
      </c>
      <c r="Y30">
        <v>7</v>
      </c>
      <c r="Z30" t="s">
        <v>236</v>
      </c>
      <c r="AA30" t="s">
        <v>36</v>
      </c>
      <c r="AB30" t="s">
        <v>36</v>
      </c>
      <c r="AC30" t="s">
        <v>163</v>
      </c>
      <c r="AD30" t="s">
        <v>36</v>
      </c>
      <c r="AE30" t="s">
        <v>237</v>
      </c>
      <c r="AF30" t="s">
        <v>186</v>
      </c>
      <c r="AG30" s="1" t="s">
        <v>238</v>
      </c>
    </row>
    <row r="31" spans="1:33" ht="15" customHeight="1" x14ac:dyDescent="0.25">
      <c r="A31" t="s">
        <v>239</v>
      </c>
      <c r="B31" t="s">
        <v>239</v>
      </c>
      <c r="C31">
        <v>9</v>
      </c>
      <c r="D31" t="s">
        <v>34</v>
      </c>
      <c r="E31" t="s">
        <v>120</v>
      </c>
      <c r="F31" t="s">
        <v>142</v>
      </c>
      <c r="G31" t="s">
        <v>37</v>
      </c>
      <c r="H31">
        <v>16</v>
      </c>
      <c r="I31">
        <v>7</v>
      </c>
      <c r="J31" t="s">
        <v>240</v>
      </c>
      <c r="K31">
        <v>161</v>
      </c>
      <c r="L31" t="s">
        <v>241</v>
      </c>
      <c r="M31">
        <v>40</v>
      </c>
      <c r="N31">
        <v>18</v>
      </c>
      <c r="O31">
        <v>16</v>
      </c>
      <c r="P31">
        <v>18</v>
      </c>
      <c r="Q31">
        <v>13</v>
      </c>
      <c r="R31">
        <v>14</v>
      </c>
      <c r="S31">
        <v>16</v>
      </c>
      <c r="T31">
        <v>8</v>
      </c>
      <c r="U31">
        <v>3</v>
      </c>
      <c r="V31">
        <v>4</v>
      </c>
      <c r="W31">
        <v>5</v>
      </c>
      <c r="X31">
        <v>6</v>
      </c>
      <c r="Y31">
        <v>7</v>
      </c>
      <c r="Z31" t="s">
        <v>242</v>
      </c>
      <c r="AA31" t="s">
        <v>146</v>
      </c>
      <c r="AB31" t="s">
        <v>36</v>
      </c>
      <c r="AC31" t="s">
        <v>115</v>
      </c>
      <c r="AD31" t="s">
        <v>36</v>
      </c>
      <c r="AE31" t="s">
        <v>243</v>
      </c>
      <c r="AF31" t="s">
        <v>148</v>
      </c>
      <c r="AG31" s="1" t="s">
        <v>244</v>
      </c>
    </row>
    <row r="32" spans="1:33" ht="15" customHeight="1" x14ac:dyDescent="0.25">
      <c r="A32" t="s">
        <v>245</v>
      </c>
      <c r="B32" t="s">
        <v>246</v>
      </c>
      <c r="C32">
        <v>1</v>
      </c>
      <c r="D32" t="s">
        <v>56</v>
      </c>
      <c r="E32" t="s">
        <v>174</v>
      </c>
      <c r="F32" t="s">
        <v>247</v>
      </c>
      <c r="G32" t="s">
        <v>248</v>
      </c>
      <c r="H32">
        <v>15</v>
      </c>
      <c r="I32">
        <v>2</v>
      </c>
      <c r="J32" t="s">
        <v>209</v>
      </c>
      <c r="K32">
        <v>22</v>
      </c>
      <c r="L32" t="s">
        <v>218</v>
      </c>
      <c r="M32">
        <v>30</v>
      </c>
      <c r="N32">
        <v>15</v>
      </c>
      <c r="O32">
        <v>10</v>
      </c>
      <c r="P32">
        <v>13</v>
      </c>
      <c r="Q32">
        <v>10</v>
      </c>
      <c r="R32">
        <v>11</v>
      </c>
      <c r="S32">
        <v>13</v>
      </c>
      <c r="T32">
        <v>2</v>
      </c>
      <c r="U32">
        <v>2</v>
      </c>
      <c r="V32">
        <v>1</v>
      </c>
      <c r="W32">
        <v>0</v>
      </c>
      <c r="X32">
        <v>2</v>
      </c>
      <c r="Y32">
        <v>1</v>
      </c>
      <c r="Z32" t="s">
        <v>219</v>
      </c>
      <c r="AA32" t="s">
        <v>36</v>
      </c>
      <c r="AB32" t="s">
        <v>36</v>
      </c>
      <c r="AC32" t="s">
        <v>98</v>
      </c>
      <c r="AD32" t="s">
        <v>36</v>
      </c>
      <c r="AE32" t="s">
        <v>179</v>
      </c>
      <c r="AF32" t="s">
        <v>165</v>
      </c>
      <c r="AG32" s="1" t="s">
        <v>249</v>
      </c>
    </row>
    <row r="33" spans="1:33" ht="15" customHeight="1" x14ac:dyDescent="0.25">
      <c r="A33" t="s">
        <v>250</v>
      </c>
      <c r="B33" t="s">
        <v>246</v>
      </c>
      <c r="C33">
        <v>6</v>
      </c>
      <c r="D33" t="s">
        <v>34</v>
      </c>
      <c r="E33" t="s">
        <v>174</v>
      </c>
      <c r="F33" t="s">
        <v>247</v>
      </c>
      <c r="G33" t="s">
        <v>248</v>
      </c>
      <c r="H33">
        <v>17</v>
      </c>
      <c r="I33">
        <v>3</v>
      </c>
      <c r="J33" t="s">
        <v>251</v>
      </c>
      <c r="K33">
        <v>110</v>
      </c>
      <c r="L33" t="s">
        <v>223</v>
      </c>
      <c r="M33">
        <v>40</v>
      </c>
      <c r="N33">
        <v>19</v>
      </c>
      <c r="O33">
        <v>10</v>
      </c>
      <c r="P33">
        <v>17</v>
      </c>
      <c r="Q33">
        <v>12</v>
      </c>
      <c r="R33">
        <v>11</v>
      </c>
      <c r="S33">
        <v>15</v>
      </c>
      <c r="T33">
        <v>4</v>
      </c>
      <c r="U33">
        <v>3</v>
      </c>
      <c r="V33">
        <v>3</v>
      </c>
      <c r="W33">
        <v>1</v>
      </c>
      <c r="X33">
        <v>3</v>
      </c>
      <c r="Y33">
        <v>2</v>
      </c>
      <c r="Z33" t="s">
        <v>252</v>
      </c>
      <c r="AA33" t="s">
        <v>36</v>
      </c>
      <c r="AB33" t="s">
        <v>36</v>
      </c>
      <c r="AC33" t="s">
        <v>98</v>
      </c>
      <c r="AD33" t="s">
        <v>36</v>
      </c>
      <c r="AE33" t="s">
        <v>185</v>
      </c>
      <c r="AF33" t="s">
        <v>186</v>
      </c>
      <c r="AG33" s="1" t="s">
        <v>253</v>
      </c>
    </row>
    <row r="34" spans="1:33" ht="15" customHeight="1" x14ac:dyDescent="0.25">
      <c r="A34" t="s">
        <v>254</v>
      </c>
      <c r="B34" t="s">
        <v>246</v>
      </c>
      <c r="C34">
        <v>13</v>
      </c>
      <c r="D34" t="s">
        <v>103</v>
      </c>
      <c r="E34" t="s">
        <v>174</v>
      </c>
      <c r="F34" t="s">
        <v>247</v>
      </c>
      <c r="G34" t="s">
        <v>248</v>
      </c>
      <c r="H34">
        <v>18</v>
      </c>
      <c r="I34">
        <v>10</v>
      </c>
      <c r="J34" t="s">
        <v>255</v>
      </c>
      <c r="K34">
        <v>172</v>
      </c>
      <c r="L34" t="s">
        <v>229</v>
      </c>
      <c r="M34">
        <v>40</v>
      </c>
      <c r="N34">
        <v>23</v>
      </c>
      <c r="O34">
        <v>10</v>
      </c>
      <c r="P34">
        <v>21</v>
      </c>
      <c r="Q34">
        <v>14</v>
      </c>
      <c r="R34">
        <v>13</v>
      </c>
      <c r="S34">
        <v>17</v>
      </c>
      <c r="T34">
        <v>6</v>
      </c>
      <c r="U34">
        <v>5</v>
      </c>
      <c r="V34">
        <v>5</v>
      </c>
      <c r="W34">
        <v>2</v>
      </c>
      <c r="X34">
        <v>6</v>
      </c>
      <c r="Y34">
        <v>3</v>
      </c>
      <c r="Z34" t="s">
        <v>256</v>
      </c>
      <c r="AA34" t="s">
        <v>36</v>
      </c>
      <c r="AB34" t="s">
        <v>36</v>
      </c>
      <c r="AC34" t="s">
        <v>98</v>
      </c>
      <c r="AD34" t="s">
        <v>36</v>
      </c>
      <c r="AE34" t="s">
        <v>191</v>
      </c>
      <c r="AF34" t="s">
        <v>186</v>
      </c>
      <c r="AG34" s="1" t="s">
        <v>257</v>
      </c>
    </row>
    <row r="35" spans="1:33" ht="15" customHeight="1" x14ac:dyDescent="0.25">
      <c r="A35" t="s">
        <v>258</v>
      </c>
      <c r="B35" t="s">
        <v>246</v>
      </c>
      <c r="C35">
        <v>20</v>
      </c>
      <c r="D35" t="s">
        <v>194</v>
      </c>
      <c r="E35" t="s">
        <v>174</v>
      </c>
      <c r="F35" t="s">
        <v>247</v>
      </c>
      <c r="G35" t="s">
        <v>248</v>
      </c>
      <c r="H35">
        <v>20</v>
      </c>
      <c r="I35">
        <v>12</v>
      </c>
      <c r="J35" t="s">
        <v>259</v>
      </c>
      <c r="K35">
        <v>332</v>
      </c>
      <c r="L35" t="s">
        <v>235</v>
      </c>
      <c r="M35">
        <v>40</v>
      </c>
      <c r="N35">
        <v>27</v>
      </c>
      <c r="O35">
        <v>10</v>
      </c>
      <c r="P35">
        <v>25</v>
      </c>
      <c r="Q35">
        <v>16</v>
      </c>
      <c r="R35">
        <v>15</v>
      </c>
      <c r="S35">
        <v>22</v>
      </c>
      <c r="T35">
        <v>8</v>
      </c>
      <c r="U35">
        <v>6</v>
      </c>
      <c r="V35">
        <v>7</v>
      </c>
      <c r="W35">
        <v>3</v>
      </c>
      <c r="X35">
        <v>8</v>
      </c>
      <c r="Y35">
        <v>6</v>
      </c>
      <c r="Z35" t="s">
        <v>260</v>
      </c>
      <c r="AA35" t="s">
        <v>36</v>
      </c>
      <c r="AB35" t="s">
        <v>36</v>
      </c>
      <c r="AC35" t="s">
        <v>98</v>
      </c>
      <c r="AD35" t="s">
        <v>36</v>
      </c>
      <c r="AE35" t="s">
        <v>261</v>
      </c>
      <c r="AF35" t="s">
        <v>186</v>
      </c>
      <c r="AG35" s="1" t="s">
        <v>262</v>
      </c>
    </row>
    <row r="36" spans="1:33" ht="15" customHeight="1" x14ac:dyDescent="0.25">
      <c r="A36" t="s">
        <v>263</v>
      </c>
      <c r="B36" t="s">
        <v>264</v>
      </c>
      <c r="C36">
        <v>2</v>
      </c>
      <c r="D36" t="s">
        <v>56</v>
      </c>
      <c r="E36" t="s">
        <v>174</v>
      </c>
      <c r="F36" t="s">
        <v>247</v>
      </c>
      <c r="G36" t="s">
        <v>208</v>
      </c>
      <c r="H36">
        <v>15</v>
      </c>
      <c r="I36">
        <v>2</v>
      </c>
      <c r="J36" t="s">
        <v>114</v>
      </c>
      <c r="K36">
        <v>39</v>
      </c>
      <c r="L36" t="s">
        <v>176</v>
      </c>
      <c r="M36">
        <v>30</v>
      </c>
      <c r="N36">
        <v>17</v>
      </c>
      <c r="O36">
        <v>10</v>
      </c>
      <c r="P36">
        <v>15</v>
      </c>
      <c r="Q36">
        <v>12</v>
      </c>
      <c r="R36">
        <v>11</v>
      </c>
      <c r="S36">
        <v>15</v>
      </c>
      <c r="T36">
        <v>3</v>
      </c>
      <c r="U36">
        <v>2</v>
      </c>
      <c r="V36">
        <v>2</v>
      </c>
      <c r="W36">
        <v>1</v>
      </c>
      <c r="X36">
        <v>2</v>
      </c>
      <c r="Y36">
        <v>2</v>
      </c>
      <c r="Z36" t="s">
        <v>219</v>
      </c>
      <c r="AA36" t="s">
        <v>36</v>
      </c>
      <c r="AB36" t="s">
        <v>36</v>
      </c>
      <c r="AC36" t="s">
        <v>163</v>
      </c>
      <c r="AD36" t="s">
        <v>36</v>
      </c>
      <c r="AE36" t="s">
        <v>179</v>
      </c>
      <c r="AF36" t="s">
        <v>165</v>
      </c>
      <c r="AG36" s="1" t="s">
        <v>265</v>
      </c>
    </row>
    <row r="37" spans="1:33" ht="15" customHeight="1" x14ac:dyDescent="0.25">
      <c r="A37" t="s">
        <v>266</v>
      </c>
      <c r="B37" t="s">
        <v>264</v>
      </c>
      <c r="C37">
        <v>8</v>
      </c>
      <c r="D37" t="s">
        <v>34</v>
      </c>
      <c r="E37" t="s">
        <v>174</v>
      </c>
      <c r="F37" t="s">
        <v>247</v>
      </c>
      <c r="G37" t="s">
        <v>208</v>
      </c>
      <c r="H37">
        <v>17</v>
      </c>
      <c r="I37">
        <v>3</v>
      </c>
      <c r="J37" t="s">
        <v>267</v>
      </c>
      <c r="K37">
        <v>142</v>
      </c>
      <c r="L37" t="s">
        <v>183</v>
      </c>
      <c r="M37">
        <v>40</v>
      </c>
      <c r="N37">
        <v>21</v>
      </c>
      <c r="O37">
        <v>10</v>
      </c>
      <c r="P37">
        <v>19</v>
      </c>
      <c r="Q37">
        <v>14</v>
      </c>
      <c r="R37">
        <v>13</v>
      </c>
      <c r="S37">
        <v>17</v>
      </c>
      <c r="T37">
        <v>5</v>
      </c>
      <c r="U37">
        <v>3</v>
      </c>
      <c r="V37">
        <v>4</v>
      </c>
      <c r="W37">
        <v>2</v>
      </c>
      <c r="X37">
        <v>4</v>
      </c>
      <c r="Y37">
        <v>3</v>
      </c>
      <c r="Z37" t="s">
        <v>268</v>
      </c>
      <c r="AA37" t="s">
        <v>36</v>
      </c>
      <c r="AB37" t="s">
        <v>36</v>
      </c>
      <c r="AC37" t="s">
        <v>163</v>
      </c>
      <c r="AD37" t="s">
        <v>36</v>
      </c>
      <c r="AE37" t="s">
        <v>269</v>
      </c>
      <c r="AF37" t="s">
        <v>186</v>
      </c>
      <c r="AG37" s="1" t="s">
        <v>270</v>
      </c>
    </row>
    <row r="38" spans="1:33" ht="15" customHeight="1" x14ac:dyDescent="0.25">
      <c r="A38" t="s">
        <v>271</v>
      </c>
      <c r="B38" t="s">
        <v>264</v>
      </c>
      <c r="C38">
        <v>15</v>
      </c>
      <c r="D38" t="s">
        <v>103</v>
      </c>
      <c r="E38" t="s">
        <v>174</v>
      </c>
      <c r="F38" t="s">
        <v>247</v>
      </c>
      <c r="G38" t="s">
        <v>208</v>
      </c>
      <c r="H38">
        <v>18</v>
      </c>
      <c r="I38">
        <v>10</v>
      </c>
      <c r="J38" t="s">
        <v>228</v>
      </c>
      <c r="K38">
        <v>212</v>
      </c>
      <c r="L38" t="s">
        <v>183</v>
      </c>
      <c r="M38">
        <v>40</v>
      </c>
      <c r="N38">
        <v>25</v>
      </c>
      <c r="O38">
        <v>10</v>
      </c>
      <c r="P38">
        <v>23</v>
      </c>
      <c r="Q38">
        <v>16</v>
      </c>
      <c r="R38">
        <v>15</v>
      </c>
      <c r="S38">
        <v>20</v>
      </c>
      <c r="T38">
        <v>7</v>
      </c>
      <c r="U38">
        <v>5</v>
      </c>
      <c r="V38">
        <v>6</v>
      </c>
      <c r="W38">
        <v>3</v>
      </c>
      <c r="X38">
        <v>7</v>
      </c>
      <c r="Y38">
        <v>5</v>
      </c>
      <c r="Z38" t="s">
        <v>272</v>
      </c>
      <c r="AA38" t="s">
        <v>36</v>
      </c>
      <c r="AB38" t="s">
        <v>36</v>
      </c>
      <c r="AC38" t="s">
        <v>163</v>
      </c>
      <c r="AD38" t="s">
        <v>36</v>
      </c>
      <c r="AE38" t="s">
        <v>231</v>
      </c>
      <c r="AF38" t="s">
        <v>186</v>
      </c>
      <c r="AG38" s="1" t="s">
        <v>273</v>
      </c>
    </row>
    <row r="39" spans="1:33" ht="15" customHeight="1" x14ac:dyDescent="0.25">
      <c r="A39" t="s">
        <v>274</v>
      </c>
      <c r="B39" t="s">
        <v>264</v>
      </c>
      <c r="C39">
        <v>22</v>
      </c>
      <c r="D39" t="s">
        <v>194</v>
      </c>
      <c r="E39" t="s">
        <v>174</v>
      </c>
      <c r="F39" t="s">
        <v>247</v>
      </c>
      <c r="G39" t="s">
        <v>208</v>
      </c>
      <c r="H39">
        <v>22</v>
      </c>
      <c r="I39">
        <v>14</v>
      </c>
      <c r="J39" t="s">
        <v>275</v>
      </c>
      <c r="K39">
        <v>444</v>
      </c>
      <c r="L39" t="s">
        <v>183</v>
      </c>
      <c r="M39">
        <v>40</v>
      </c>
      <c r="N39">
        <v>29</v>
      </c>
      <c r="O39">
        <v>10</v>
      </c>
      <c r="P39">
        <v>27</v>
      </c>
      <c r="Q39">
        <v>18</v>
      </c>
      <c r="R39">
        <v>17</v>
      </c>
      <c r="S39">
        <v>25</v>
      </c>
      <c r="T39">
        <v>9</v>
      </c>
      <c r="U39">
        <v>7</v>
      </c>
      <c r="V39">
        <v>8</v>
      </c>
      <c r="W39">
        <v>4</v>
      </c>
      <c r="X39">
        <v>10</v>
      </c>
      <c r="Y39">
        <v>7</v>
      </c>
      <c r="Z39" t="s">
        <v>276</v>
      </c>
      <c r="AA39" t="s">
        <v>36</v>
      </c>
      <c r="AB39" t="s">
        <v>36</v>
      </c>
      <c r="AC39" t="s">
        <v>163</v>
      </c>
      <c r="AD39" t="s">
        <v>36</v>
      </c>
      <c r="AE39" t="s">
        <v>237</v>
      </c>
      <c r="AF39" t="s">
        <v>186</v>
      </c>
      <c r="AG39" s="1" t="s">
        <v>277</v>
      </c>
    </row>
    <row r="40" spans="1:33" ht="15" customHeight="1" x14ac:dyDescent="0.25">
      <c r="A40" t="s">
        <v>278</v>
      </c>
      <c r="B40" t="s">
        <v>279</v>
      </c>
      <c r="C40">
        <v>3</v>
      </c>
      <c r="D40" t="s">
        <v>56</v>
      </c>
      <c r="E40" t="s">
        <v>207</v>
      </c>
      <c r="F40" t="s">
        <v>280</v>
      </c>
      <c r="G40" t="s">
        <v>122</v>
      </c>
      <c r="H40">
        <v>15</v>
      </c>
      <c r="I40">
        <v>2</v>
      </c>
      <c r="J40" t="s">
        <v>217</v>
      </c>
      <c r="K40">
        <v>65</v>
      </c>
      <c r="L40" t="s">
        <v>85</v>
      </c>
      <c r="M40">
        <v>30</v>
      </c>
      <c r="N40">
        <v>17</v>
      </c>
      <c r="O40">
        <v>14</v>
      </c>
      <c r="P40">
        <v>14</v>
      </c>
      <c r="Q40">
        <v>11</v>
      </c>
      <c r="R40">
        <v>12</v>
      </c>
      <c r="S40">
        <v>11</v>
      </c>
      <c r="T40">
        <v>3</v>
      </c>
      <c r="U40">
        <v>2</v>
      </c>
      <c r="V40">
        <v>4</v>
      </c>
      <c r="W40">
        <v>0</v>
      </c>
      <c r="X40">
        <v>3</v>
      </c>
      <c r="Y40">
        <v>0</v>
      </c>
      <c r="Z40" t="s">
        <v>281</v>
      </c>
      <c r="AA40" t="s">
        <v>36</v>
      </c>
      <c r="AB40" t="s">
        <v>36</v>
      </c>
      <c r="AC40" t="s">
        <v>36</v>
      </c>
      <c r="AD40" t="s">
        <v>282</v>
      </c>
      <c r="AE40" t="s">
        <v>283</v>
      </c>
      <c r="AF40" t="s">
        <v>284</v>
      </c>
      <c r="AG40" s="1" t="s">
        <v>285</v>
      </c>
    </row>
    <row r="41" spans="1:33" ht="15" customHeight="1" x14ac:dyDescent="0.25">
      <c r="A41" t="s">
        <v>286</v>
      </c>
      <c r="B41" t="s">
        <v>279</v>
      </c>
      <c r="C41">
        <v>1</v>
      </c>
      <c r="D41" t="s">
        <v>56</v>
      </c>
      <c r="E41" t="s">
        <v>207</v>
      </c>
      <c r="F41" t="s">
        <v>280</v>
      </c>
      <c r="G41" t="s">
        <v>122</v>
      </c>
      <c r="H41">
        <v>14</v>
      </c>
      <c r="I41">
        <v>2</v>
      </c>
      <c r="J41" t="s">
        <v>59</v>
      </c>
      <c r="K41">
        <v>33</v>
      </c>
      <c r="L41" t="s">
        <v>85</v>
      </c>
      <c r="M41">
        <v>30</v>
      </c>
      <c r="N41">
        <v>15</v>
      </c>
      <c r="O41">
        <v>14</v>
      </c>
      <c r="P41">
        <v>13</v>
      </c>
      <c r="Q41">
        <v>8</v>
      </c>
      <c r="R41">
        <v>11</v>
      </c>
      <c r="S41">
        <v>9</v>
      </c>
      <c r="T41">
        <v>2</v>
      </c>
      <c r="U41">
        <v>2</v>
      </c>
      <c r="V41">
        <v>1</v>
      </c>
      <c r="W41">
        <v>-1</v>
      </c>
      <c r="X41">
        <v>0</v>
      </c>
      <c r="Y41">
        <v>-1</v>
      </c>
      <c r="Z41" t="s">
        <v>287</v>
      </c>
      <c r="AA41" t="s">
        <v>36</v>
      </c>
      <c r="AB41" t="s">
        <v>36</v>
      </c>
      <c r="AC41" t="s">
        <v>36</v>
      </c>
      <c r="AD41" t="s">
        <v>288</v>
      </c>
      <c r="AE41" t="s">
        <v>51</v>
      </c>
      <c r="AF41" t="s">
        <v>284</v>
      </c>
      <c r="AG41" s="1" t="s">
        <v>289</v>
      </c>
    </row>
    <row r="42" spans="1:33" ht="15" customHeight="1" x14ac:dyDescent="0.25">
      <c r="A42" t="s">
        <v>290</v>
      </c>
      <c r="B42" t="s">
        <v>290</v>
      </c>
      <c r="C42">
        <v>5</v>
      </c>
      <c r="D42" t="s">
        <v>34</v>
      </c>
      <c r="E42" t="s">
        <v>76</v>
      </c>
      <c r="F42" t="s">
        <v>36</v>
      </c>
      <c r="G42" t="s">
        <v>58</v>
      </c>
      <c r="H42">
        <v>17</v>
      </c>
      <c r="I42">
        <v>0</v>
      </c>
      <c r="J42" t="s">
        <v>291</v>
      </c>
      <c r="K42">
        <v>94</v>
      </c>
      <c r="L42" t="s">
        <v>292</v>
      </c>
      <c r="M42">
        <v>40</v>
      </c>
      <c r="N42">
        <v>19</v>
      </c>
      <c r="O42">
        <v>11</v>
      </c>
      <c r="P42">
        <v>21</v>
      </c>
      <c r="Q42">
        <v>2</v>
      </c>
      <c r="R42">
        <v>10</v>
      </c>
      <c r="S42">
        <v>5</v>
      </c>
      <c r="T42">
        <v>4</v>
      </c>
      <c r="U42">
        <v>0</v>
      </c>
      <c r="V42">
        <v>5</v>
      </c>
      <c r="W42">
        <v>-4</v>
      </c>
      <c r="X42">
        <v>0</v>
      </c>
      <c r="Y42">
        <v>-3</v>
      </c>
      <c r="Z42" t="s">
        <v>293</v>
      </c>
      <c r="AA42" t="s">
        <v>36</v>
      </c>
      <c r="AB42" t="s">
        <v>36</v>
      </c>
      <c r="AC42" t="s">
        <v>36</v>
      </c>
      <c r="AD42" t="s">
        <v>36</v>
      </c>
      <c r="AE42" t="s">
        <v>294</v>
      </c>
      <c r="AF42" t="s">
        <v>63</v>
      </c>
      <c r="AG42" s="1" t="s">
        <v>295</v>
      </c>
    </row>
    <row r="43" spans="1:33" ht="15" customHeight="1" x14ac:dyDescent="0.25">
      <c r="A43" t="s">
        <v>296</v>
      </c>
      <c r="B43" t="s">
        <v>297</v>
      </c>
      <c r="C43">
        <v>2</v>
      </c>
      <c r="D43" t="s">
        <v>34</v>
      </c>
      <c r="E43" t="s">
        <v>207</v>
      </c>
      <c r="F43" t="s">
        <v>36</v>
      </c>
      <c r="G43" t="s">
        <v>298</v>
      </c>
      <c r="H43">
        <v>16</v>
      </c>
      <c r="I43">
        <v>2</v>
      </c>
      <c r="J43" t="s">
        <v>77</v>
      </c>
      <c r="K43">
        <v>45</v>
      </c>
      <c r="L43" t="s">
        <v>109</v>
      </c>
      <c r="M43">
        <v>50</v>
      </c>
      <c r="N43">
        <v>18</v>
      </c>
      <c r="O43">
        <v>14</v>
      </c>
      <c r="P43">
        <v>14</v>
      </c>
      <c r="Q43">
        <v>9</v>
      </c>
      <c r="R43">
        <v>13</v>
      </c>
      <c r="S43">
        <v>11</v>
      </c>
      <c r="T43">
        <v>4</v>
      </c>
      <c r="U43">
        <v>2</v>
      </c>
      <c r="V43">
        <v>2</v>
      </c>
      <c r="W43">
        <v>-1</v>
      </c>
      <c r="X43">
        <v>1</v>
      </c>
      <c r="Y43">
        <v>0</v>
      </c>
      <c r="Z43" t="s">
        <v>299</v>
      </c>
      <c r="AA43" t="s">
        <v>36</v>
      </c>
      <c r="AB43" t="s">
        <v>36</v>
      </c>
      <c r="AC43" t="s">
        <v>36</v>
      </c>
      <c r="AD43" t="s">
        <v>300</v>
      </c>
      <c r="AE43" t="s">
        <v>301</v>
      </c>
      <c r="AF43" t="s">
        <v>302</v>
      </c>
      <c r="AG43" s="1" t="s">
        <v>303</v>
      </c>
    </row>
    <row r="44" spans="1:33" ht="15" customHeight="1" x14ac:dyDescent="0.25">
      <c r="A44" t="s">
        <v>304</v>
      </c>
      <c r="B44" t="s">
        <v>304</v>
      </c>
      <c r="C44">
        <v>8</v>
      </c>
      <c r="D44" t="s">
        <v>56</v>
      </c>
      <c r="E44" t="s">
        <v>120</v>
      </c>
      <c r="F44" t="s">
        <v>142</v>
      </c>
      <c r="G44" t="s">
        <v>37</v>
      </c>
      <c r="H44">
        <v>15</v>
      </c>
      <c r="I44">
        <v>5</v>
      </c>
      <c r="J44" t="s">
        <v>305</v>
      </c>
      <c r="K44">
        <v>85</v>
      </c>
      <c r="L44" t="s">
        <v>85</v>
      </c>
      <c r="M44">
        <v>30</v>
      </c>
      <c r="N44">
        <v>18</v>
      </c>
      <c r="O44">
        <v>15</v>
      </c>
      <c r="P44">
        <v>18</v>
      </c>
      <c r="Q44">
        <v>11</v>
      </c>
      <c r="R44">
        <v>12</v>
      </c>
      <c r="S44">
        <v>14</v>
      </c>
      <c r="T44">
        <v>4</v>
      </c>
      <c r="U44">
        <v>2</v>
      </c>
      <c r="V44">
        <v>7</v>
      </c>
      <c r="W44">
        <v>0</v>
      </c>
      <c r="X44">
        <v>4</v>
      </c>
      <c r="Y44">
        <v>2</v>
      </c>
      <c r="Z44" t="s">
        <v>36</v>
      </c>
      <c r="AA44" t="s">
        <v>306</v>
      </c>
      <c r="AB44" t="s">
        <v>36</v>
      </c>
      <c r="AC44" t="s">
        <v>115</v>
      </c>
      <c r="AD44" t="s">
        <v>36</v>
      </c>
      <c r="AE44" t="s">
        <v>307</v>
      </c>
      <c r="AF44" t="s">
        <v>148</v>
      </c>
      <c r="AG44" s="1" t="s">
        <v>308</v>
      </c>
    </row>
    <row r="45" spans="1:33" ht="15" customHeight="1" x14ac:dyDescent="0.25">
      <c r="A45" t="s">
        <v>309</v>
      </c>
      <c r="B45" t="s">
        <v>309</v>
      </c>
      <c r="C45">
        <v>6</v>
      </c>
      <c r="D45" t="s">
        <v>34</v>
      </c>
      <c r="E45" t="s">
        <v>76</v>
      </c>
      <c r="F45" t="s">
        <v>36</v>
      </c>
      <c r="G45" t="s">
        <v>122</v>
      </c>
      <c r="H45">
        <v>14</v>
      </c>
      <c r="I45">
        <v>0</v>
      </c>
      <c r="J45" t="s">
        <v>310</v>
      </c>
      <c r="K45">
        <v>114</v>
      </c>
      <c r="L45" t="s">
        <v>311</v>
      </c>
      <c r="M45">
        <v>30</v>
      </c>
      <c r="N45">
        <v>19</v>
      </c>
      <c r="O45">
        <v>11</v>
      </c>
      <c r="P45">
        <v>19</v>
      </c>
      <c r="Q45">
        <v>3</v>
      </c>
      <c r="R45">
        <v>14</v>
      </c>
      <c r="S45">
        <v>10</v>
      </c>
      <c r="T45">
        <v>4</v>
      </c>
      <c r="U45">
        <v>0</v>
      </c>
      <c r="V45">
        <v>4</v>
      </c>
      <c r="W45">
        <v>-4</v>
      </c>
      <c r="X45">
        <v>2</v>
      </c>
      <c r="Y45">
        <v>0</v>
      </c>
      <c r="Z45" t="s">
        <v>312</v>
      </c>
      <c r="AA45" t="s">
        <v>36</v>
      </c>
      <c r="AB45" t="s">
        <v>36</v>
      </c>
      <c r="AC45" t="s">
        <v>36</v>
      </c>
      <c r="AD45" t="s">
        <v>36</v>
      </c>
      <c r="AE45" t="s">
        <v>313</v>
      </c>
      <c r="AF45" t="s">
        <v>314</v>
      </c>
      <c r="AG45" s="1" t="s">
        <v>315</v>
      </c>
    </row>
    <row r="46" spans="1:33" ht="15" customHeight="1" x14ac:dyDescent="0.25">
      <c r="A46" t="s">
        <v>316</v>
      </c>
      <c r="B46" t="s">
        <v>316</v>
      </c>
      <c r="C46">
        <v>4</v>
      </c>
      <c r="D46" t="s">
        <v>34</v>
      </c>
      <c r="E46" t="s">
        <v>35</v>
      </c>
      <c r="F46" t="s">
        <v>36</v>
      </c>
      <c r="G46" t="s">
        <v>122</v>
      </c>
      <c r="H46">
        <v>16</v>
      </c>
      <c r="I46">
        <v>0</v>
      </c>
      <c r="J46" t="s">
        <v>317</v>
      </c>
      <c r="K46">
        <v>76</v>
      </c>
      <c r="L46" t="s">
        <v>318</v>
      </c>
      <c r="M46">
        <v>30</v>
      </c>
      <c r="N46">
        <v>19</v>
      </c>
      <c r="O46">
        <v>10</v>
      </c>
      <c r="P46">
        <v>16</v>
      </c>
      <c r="Q46">
        <v>5</v>
      </c>
      <c r="R46">
        <v>11</v>
      </c>
      <c r="S46">
        <v>5</v>
      </c>
      <c r="T46">
        <v>4</v>
      </c>
      <c r="U46">
        <v>0</v>
      </c>
      <c r="V46">
        <v>3</v>
      </c>
      <c r="W46">
        <v>-3</v>
      </c>
      <c r="X46">
        <v>0</v>
      </c>
      <c r="Y46">
        <v>-3</v>
      </c>
      <c r="Z46" t="s">
        <v>319</v>
      </c>
      <c r="AA46" t="s">
        <v>36</v>
      </c>
      <c r="AB46" t="s">
        <v>36</v>
      </c>
      <c r="AC46" t="s">
        <v>320</v>
      </c>
      <c r="AD46" t="s">
        <v>36</v>
      </c>
      <c r="AE46" t="s">
        <v>321</v>
      </c>
      <c r="AF46" t="s">
        <v>322</v>
      </c>
      <c r="AG46" s="1" t="s">
        <v>323</v>
      </c>
    </row>
    <row r="47" spans="1:33" ht="15" customHeight="1" x14ac:dyDescent="0.25">
      <c r="A47" t="s">
        <v>324</v>
      </c>
      <c r="B47" t="s">
        <v>324</v>
      </c>
      <c r="C47">
        <v>9</v>
      </c>
      <c r="D47" t="s">
        <v>34</v>
      </c>
      <c r="E47" t="s">
        <v>57</v>
      </c>
      <c r="F47" t="s">
        <v>36</v>
      </c>
      <c r="G47" t="s">
        <v>58</v>
      </c>
      <c r="H47">
        <v>14</v>
      </c>
      <c r="I47">
        <v>3</v>
      </c>
      <c r="J47" t="s">
        <v>325</v>
      </c>
      <c r="K47">
        <v>123</v>
      </c>
      <c r="L47" t="s">
        <v>85</v>
      </c>
      <c r="M47">
        <v>30</v>
      </c>
      <c r="N47">
        <v>20</v>
      </c>
      <c r="O47">
        <v>9</v>
      </c>
      <c r="P47">
        <v>18</v>
      </c>
      <c r="Q47">
        <v>3</v>
      </c>
      <c r="R47">
        <v>8</v>
      </c>
      <c r="S47">
        <v>1</v>
      </c>
      <c r="T47">
        <v>5</v>
      </c>
      <c r="U47">
        <v>-1</v>
      </c>
      <c r="V47">
        <v>4</v>
      </c>
      <c r="W47">
        <v>-4</v>
      </c>
      <c r="X47">
        <v>-1</v>
      </c>
      <c r="Y47">
        <v>-5</v>
      </c>
      <c r="Z47" t="s">
        <v>36</v>
      </c>
      <c r="AA47" t="s">
        <v>326</v>
      </c>
      <c r="AB47" t="s">
        <v>36</v>
      </c>
      <c r="AC47" t="s">
        <v>327</v>
      </c>
      <c r="AD47" t="s">
        <v>36</v>
      </c>
      <c r="AE47" t="s">
        <v>151</v>
      </c>
      <c r="AF47" t="s">
        <v>100</v>
      </c>
      <c r="AG47" s="1" t="s">
        <v>328</v>
      </c>
    </row>
    <row r="48" spans="1:33" ht="15" customHeight="1" x14ac:dyDescent="0.25">
      <c r="A48" t="s">
        <v>329</v>
      </c>
      <c r="B48" t="s">
        <v>329</v>
      </c>
      <c r="C48">
        <v>8</v>
      </c>
      <c r="D48" t="s">
        <v>34</v>
      </c>
      <c r="E48" t="s">
        <v>35</v>
      </c>
      <c r="F48" t="s">
        <v>36</v>
      </c>
      <c r="G48" t="s">
        <v>330</v>
      </c>
      <c r="H48">
        <v>14</v>
      </c>
      <c r="I48">
        <v>5</v>
      </c>
      <c r="J48" t="s">
        <v>331</v>
      </c>
      <c r="K48">
        <v>91</v>
      </c>
      <c r="L48" t="s">
        <v>332</v>
      </c>
      <c r="M48">
        <v>10</v>
      </c>
      <c r="N48">
        <v>17</v>
      </c>
      <c r="O48">
        <v>15</v>
      </c>
      <c r="P48">
        <v>12</v>
      </c>
      <c r="Q48">
        <v>13</v>
      </c>
      <c r="R48">
        <v>14</v>
      </c>
      <c r="S48">
        <v>7</v>
      </c>
      <c r="T48">
        <v>3</v>
      </c>
      <c r="U48">
        <v>2</v>
      </c>
      <c r="V48">
        <v>1</v>
      </c>
      <c r="W48">
        <v>1</v>
      </c>
      <c r="X48">
        <v>2</v>
      </c>
      <c r="Y48">
        <v>-2</v>
      </c>
      <c r="Z48" t="s">
        <v>333</v>
      </c>
      <c r="AA48" t="s">
        <v>36</v>
      </c>
      <c r="AB48" t="s">
        <v>36</v>
      </c>
      <c r="AC48" t="s">
        <v>334</v>
      </c>
      <c r="AD48" t="s">
        <v>36</v>
      </c>
      <c r="AE48" t="s">
        <v>335</v>
      </c>
      <c r="AF48" t="s">
        <v>336</v>
      </c>
      <c r="AG48" s="1" t="s">
        <v>337</v>
      </c>
    </row>
    <row r="49" spans="1:33" ht="15" customHeight="1" x14ac:dyDescent="0.25">
      <c r="A49" t="s">
        <v>338</v>
      </c>
      <c r="B49" t="s">
        <v>338</v>
      </c>
      <c r="C49">
        <v>9</v>
      </c>
      <c r="D49" t="s">
        <v>103</v>
      </c>
      <c r="E49" t="s">
        <v>339</v>
      </c>
      <c r="F49" t="s">
        <v>36</v>
      </c>
      <c r="G49" t="s">
        <v>46</v>
      </c>
      <c r="H49">
        <v>14</v>
      </c>
      <c r="I49">
        <v>4</v>
      </c>
      <c r="J49" t="s">
        <v>340</v>
      </c>
      <c r="K49">
        <v>200</v>
      </c>
      <c r="L49" t="s">
        <v>341</v>
      </c>
      <c r="M49">
        <v>40</v>
      </c>
      <c r="N49">
        <v>27</v>
      </c>
      <c r="O49">
        <v>10</v>
      </c>
      <c r="P49">
        <v>22</v>
      </c>
      <c r="Q49">
        <v>12</v>
      </c>
      <c r="R49">
        <v>16</v>
      </c>
      <c r="S49">
        <v>16</v>
      </c>
      <c r="T49">
        <v>8</v>
      </c>
      <c r="U49">
        <v>0</v>
      </c>
      <c r="V49">
        <v>10</v>
      </c>
      <c r="W49">
        <v>1</v>
      </c>
      <c r="X49">
        <v>7</v>
      </c>
      <c r="Y49">
        <v>3</v>
      </c>
      <c r="Z49" t="s">
        <v>342</v>
      </c>
      <c r="AA49" t="s">
        <v>36</v>
      </c>
      <c r="AB49" t="s">
        <v>36</v>
      </c>
      <c r="AC49" t="s">
        <v>36</v>
      </c>
      <c r="AD49" t="s">
        <v>36</v>
      </c>
      <c r="AE49" t="s">
        <v>343</v>
      </c>
      <c r="AF49" t="s">
        <v>344</v>
      </c>
      <c r="AG49" s="1" t="s">
        <v>345</v>
      </c>
    </row>
    <row r="50" spans="1:33" ht="15" customHeight="1" x14ac:dyDescent="0.25">
      <c r="A50" t="s">
        <v>346</v>
      </c>
      <c r="B50" t="s">
        <v>346</v>
      </c>
      <c r="C50">
        <v>0.5</v>
      </c>
      <c r="D50" t="s">
        <v>66</v>
      </c>
      <c r="E50" t="s">
        <v>76</v>
      </c>
      <c r="F50" t="s">
        <v>36</v>
      </c>
      <c r="G50" t="s">
        <v>58</v>
      </c>
      <c r="H50">
        <v>11</v>
      </c>
      <c r="I50">
        <v>1</v>
      </c>
      <c r="J50" t="s">
        <v>347</v>
      </c>
      <c r="K50">
        <v>22</v>
      </c>
      <c r="L50" t="s">
        <v>348</v>
      </c>
      <c r="M50">
        <v>20</v>
      </c>
      <c r="N50">
        <v>6</v>
      </c>
      <c r="O50">
        <v>12</v>
      </c>
      <c r="P50">
        <v>12</v>
      </c>
      <c r="Q50">
        <v>2</v>
      </c>
      <c r="R50">
        <v>13</v>
      </c>
      <c r="S50">
        <v>5</v>
      </c>
      <c r="T50">
        <v>-2</v>
      </c>
      <c r="U50">
        <v>1</v>
      </c>
      <c r="V50">
        <v>1</v>
      </c>
      <c r="W50">
        <v>-4</v>
      </c>
      <c r="X50">
        <v>1</v>
      </c>
      <c r="Y50">
        <v>-3</v>
      </c>
      <c r="Z50" t="s">
        <v>36</v>
      </c>
      <c r="AA50" t="s">
        <v>36</v>
      </c>
      <c r="AB50" t="s">
        <v>36</v>
      </c>
      <c r="AC50" t="s">
        <v>349</v>
      </c>
      <c r="AD50" t="s">
        <v>36</v>
      </c>
      <c r="AE50" t="s">
        <v>283</v>
      </c>
      <c r="AF50" t="s">
        <v>63</v>
      </c>
      <c r="AG50" s="1" t="s">
        <v>350</v>
      </c>
    </row>
    <row r="51" spans="1:33" ht="15" customHeight="1" x14ac:dyDescent="0.25">
      <c r="A51" t="s">
        <v>351</v>
      </c>
      <c r="B51" t="s">
        <v>351</v>
      </c>
      <c r="C51">
        <v>0</v>
      </c>
      <c r="D51" t="s">
        <v>82</v>
      </c>
      <c r="E51" t="s">
        <v>83</v>
      </c>
      <c r="F51" t="s">
        <v>36</v>
      </c>
      <c r="G51" t="s">
        <v>46</v>
      </c>
      <c r="H51">
        <v>10</v>
      </c>
      <c r="I51">
        <v>0</v>
      </c>
      <c r="J51" t="s">
        <v>352</v>
      </c>
      <c r="K51">
        <v>4</v>
      </c>
      <c r="L51" t="s">
        <v>85</v>
      </c>
      <c r="M51">
        <v>30</v>
      </c>
      <c r="N51">
        <v>10</v>
      </c>
      <c r="O51">
        <v>10</v>
      </c>
      <c r="P51">
        <v>10</v>
      </c>
      <c r="Q51">
        <v>10</v>
      </c>
      <c r="R51">
        <v>10</v>
      </c>
      <c r="S51">
        <v>10</v>
      </c>
      <c r="T51">
        <v>0</v>
      </c>
      <c r="U51">
        <v>0</v>
      </c>
      <c r="V51">
        <v>0</v>
      </c>
      <c r="W51">
        <v>0</v>
      </c>
      <c r="X51">
        <v>0</v>
      </c>
      <c r="Y51">
        <v>0</v>
      </c>
      <c r="Z51" t="s">
        <v>36</v>
      </c>
      <c r="AA51" t="s">
        <v>36</v>
      </c>
      <c r="AB51" t="s">
        <v>36</v>
      </c>
      <c r="AC51" t="s">
        <v>36</v>
      </c>
      <c r="AD51" t="s">
        <v>353</v>
      </c>
      <c r="AE51" t="s">
        <v>99</v>
      </c>
      <c r="AF51" t="s">
        <v>170</v>
      </c>
      <c r="AG51" s="1" t="s">
        <v>354</v>
      </c>
    </row>
    <row r="52" spans="1:33" ht="15" customHeight="1" x14ac:dyDescent="0.25">
      <c r="A52" t="s">
        <v>355</v>
      </c>
      <c r="B52" t="s">
        <v>356</v>
      </c>
      <c r="C52">
        <v>1</v>
      </c>
      <c r="D52" t="s">
        <v>56</v>
      </c>
      <c r="E52" t="s">
        <v>174</v>
      </c>
      <c r="F52" t="s">
        <v>247</v>
      </c>
      <c r="G52" t="s">
        <v>248</v>
      </c>
      <c r="H52">
        <v>16</v>
      </c>
      <c r="I52">
        <v>3</v>
      </c>
      <c r="J52" t="s">
        <v>209</v>
      </c>
      <c r="K52">
        <v>22</v>
      </c>
      <c r="L52" t="s">
        <v>357</v>
      </c>
      <c r="M52">
        <v>30</v>
      </c>
      <c r="N52">
        <v>15</v>
      </c>
      <c r="O52">
        <v>12</v>
      </c>
      <c r="P52">
        <v>13</v>
      </c>
      <c r="Q52">
        <v>14</v>
      </c>
      <c r="R52">
        <v>11</v>
      </c>
      <c r="S52">
        <v>13</v>
      </c>
      <c r="T52">
        <v>2</v>
      </c>
      <c r="U52">
        <v>3</v>
      </c>
      <c r="V52">
        <v>1</v>
      </c>
      <c r="W52">
        <v>2</v>
      </c>
      <c r="X52">
        <v>2</v>
      </c>
      <c r="Y52">
        <v>1</v>
      </c>
      <c r="Z52" t="s">
        <v>358</v>
      </c>
      <c r="AA52" t="s">
        <v>36</v>
      </c>
      <c r="AB52" t="s">
        <v>36</v>
      </c>
      <c r="AC52" t="s">
        <v>178</v>
      </c>
      <c r="AD52" t="s">
        <v>36</v>
      </c>
      <c r="AE52" t="s">
        <v>179</v>
      </c>
      <c r="AF52" t="s">
        <v>165</v>
      </c>
      <c r="AG52" s="1" t="s">
        <v>359</v>
      </c>
    </row>
    <row r="53" spans="1:33" ht="15" customHeight="1" x14ac:dyDescent="0.25">
      <c r="A53" t="s">
        <v>360</v>
      </c>
      <c r="B53" t="s">
        <v>356</v>
      </c>
      <c r="C53">
        <v>7</v>
      </c>
      <c r="D53" t="s">
        <v>34</v>
      </c>
      <c r="E53" t="s">
        <v>174</v>
      </c>
      <c r="F53" t="s">
        <v>247</v>
      </c>
      <c r="G53" t="s">
        <v>248</v>
      </c>
      <c r="H53">
        <v>17</v>
      </c>
      <c r="I53">
        <v>4</v>
      </c>
      <c r="J53" t="s">
        <v>361</v>
      </c>
      <c r="K53">
        <v>119</v>
      </c>
      <c r="L53" t="s">
        <v>362</v>
      </c>
      <c r="M53">
        <v>40</v>
      </c>
      <c r="N53">
        <v>19</v>
      </c>
      <c r="O53">
        <v>12</v>
      </c>
      <c r="P53">
        <v>17</v>
      </c>
      <c r="Q53">
        <v>16</v>
      </c>
      <c r="R53">
        <v>13</v>
      </c>
      <c r="S53">
        <v>15</v>
      </c>
      <c r="T53">
        <v>4</v>
      </c>
      <c r="U53">
        <v>4</v>
      </c>
      <c r="V53">
        <v>3</v>
      </c>
      <c r="W53">
        <v>3</v>
      </c>
      <c r="X53">
        <v>4</v>
      </c>
      <c r="Y53">
        <v>2</v>
      </c>
      <c r="Z53" t="s">
        <v>363</v>
      </c>
      <c r="AA53" t="s">
        <v>36</v>
      </c>
      <c r="AB53" t="s">
        <v>36</v>
      </c>
      <c r="AC53" t="s">
        <v>178</v>
      </c>
      <c r="AD53" t="s">
        <v>36</v>
      </c>
      <c r="AE53" t="s">
        <v>269</v>
      </c>
      <c r="AF53" t="s">
        <v>186</v>
      </c>
      <c r="AG53" s="1" t="s">
        <v>364</v>
      </c>
    </row>
    <row r="54" spans="1:33" ht="15" customHeight="1" x14ac:dyDescent="0.25">
      <c r="A54" t="s">
        <v>365</v>
      </c>
      <c r="B54" t="s">
        <v>356</v>
      </c>
      <c r="C54">
        <v>14</v>
      </c>
      <c r="D54" t="s">
        <v>103</v>
      </c>
      <c r="E54" t="s">
        <v>174</v>
      </c>
      <c r="F54" t="s">
        <v>247</v>
      </c>
      <c r="G54" t="s">
        <v>248</v>
      </c>
      <c r="H54">
        <v>18</v>
      </c>
      <c r="I54">
        <v>11</v>
      </c>
      <c r="J54" t="s">
        <v>366</v>
      </c>
      <c r="K54">
        <v>184</v>
      </c>
      <c r="L54" t="s">
        <v>362</v>
      </c>
      <c r="M54">
        <v>40</v>
      </c>
      <c r="N54">
        <v>23</v>
      </c>
      <c r="O54">
        <v>12</v>
      </c>
      <c r="P54">
        <v>21</v>
      </c>
      <c r="Q54">
        <v>18</v>
      </c>
      <c r="R54">
        <v>15</v>
      </c>
      <c r="S54">
        <v>18</v>
      </c>
      <c r="T54">
        <v>6</v>
      </c>
      <c r="U54">
        <v>6</v>
      </c>
      <c r="V54">
        <v>5</v>
      </c>
      <c r="W54">
        <v>4</v>
      </c>
      <c r="X54">
        <v>7</v>
      </c>
      <c r="Y54">
        <v>4</v>
      </c>
      <c r="Z54" t="s">
        <v>367</v>
      </c>
      <c r="AA54" t="s">
        <v>36</v>
      </c>
      <c r="AB54" t="s">
        <v>36</v>
      </c>
      <c r="AC54" t="s">
        <v>178</v>
      </c>
      <c r="AD54" t="s">
        <v>36</v>
      </c>
      <c r="AE54" t="s">
        <v>231</v>
      </c>
      <c r="AF54" t="s">
        <v>186</v>
      </c>
      <c r="AG54" s="1" t="s">
        <v>368</v>
      </c>
    </row>
    <row r="55" spans="1:33" ht="15" customHeight="1" x14ac:dyDescent="0.25">
      <c r="A55" t="s">
        <v>369</v>
      </c>
      <c r="B55" t="s">
        <v>356</v>
      </c>
      <c r="C55">
        <v>21</v>
      </c>
      <c r="D55" t="s">
        <v>194</v>
      </c>
      <c r="E55" t="s">
        <v>174</v>
      </c>
      <c r="F55" t="s">
        <v>247</v>
      </c>
      <c r="G55" t="s">
        <v>248</v>
      </c>
      <c r="H55">
        <v>21</v>
      </c>
      <c r="I55">
        <v>15</v>
      </c>
      <c r="J55" t="s">
        <v>195</v>
      </c>
      <c r="K55">
        <v>367</v>
      </c>
      <c r="L55" t="s">
        <v>362</v>
      </c>
      <c r="M55">
        <v>40</v>
      </c>
      <c r="N55">
        <v>27</v>
      </c>
      <c r="O55">
        <v>12</v>
      </c>
      <c r="P55">
        <v>25</v>
      </c>
      <c r="Q55">
        <v>20</v>
      </c>
      <c r="R55">
        <v>17</v>
      </c>
      <c r="S55">
        <v>22</v>
      </c>
      <c r="T55">
        <v>8</v>
      </c>
      <c r="U55">
        <v>8</v>
      </c>
      <c r="V55">
        <v>7</v>
      </c>
      <c r="W55">
        <v>5</v>
      </c>
      <c r="X55">
        <v>10</v>
      </c>
      <c r="Y55">
        <v>6</v>
      </c>
      <c r="Z55" t="s">
        <v>370</v>
      </c>
      <c r="AA55" t="s">
        <v>36</v>
      </c>
      <c r="AB55" t="s">
        <v>36</v>
      </c>
      <c r="AC55" t="s">
        <v>178</v>
      </c>
      <c r="AD55" t="s">
        <v>36</v>
      </c>
      <c r="AE55" t="s">
        <v>237</v>
      </c>
      <c r="AF55" t="s">
        <v>186</v>
      </c>
      <c r="AG55" s="1" t="s">
        <v>371</v>
      </c>
    </row>
    <row r="56" spans="1:33" ht="15" customHeight="1" x14ac:dyDescent="0.25">
      <c r="A56" t="s">
        <v>372</v>
      </c>
      <c r="B56" t="s">
        <v>372</v>
      </c>
      <c r="C56">
        <v>4</v>
      </c>
      <c r="D56" t="s">
        <v>56</v>
      </c>
      <c r="E56" t="s">
        <v>373</v>
      </c>
      <c r="F56" t="s">
        <v>36</v>
      </c>
      <c r="G56" t="s">
        <v>208</v>
      </c>
      <c r="H56">
        <v>19</v>
      </c>
      <c r="I56">
        <v>5</v>
      </c>
      <c r="J56" t="s">
        <v>374</v>
      </c>
      <c r="K56">
        <v>60</v>
      </c>
      <c r="L56" t="s">
        <v>375</v>
      </c>
      <c r="M56">
        <v>30</v>
      </c>
      <c r="N56">
        <v>16</v>
      </c>
      <c r="O56">
        <v>20</v>
      </c>
      <c r="P56">
        <v>17</v>
      </c>
      <c r="Q56">
        <v>18</v>
      </c>
      <c r="R56">
        <v>20</v>
      </c>
      <c r="S56">
        <v>18</v>
      </c>
      <c r="T56">
        <v>3</v>
      </c>
      <c r="U56">
        <v>5</v>
      </c>
      <c r="V56">
        <v>5</v>
      </c>
      <c r="W56">
        <v>4</v>
      </c>
      <c r="X56">
        <v>7</v>
      </c>
      <c r="Y56">
        <v>4</v>
      </c>
      <c r="Z56" t="s">
        <v>36</v>
      </c>
      <c r="AA56" t="s">
        <v>326</v>
      </c>
      <c r="AB56" t="s">
        <v>36</v>
      </c>
      <c r="AC56" t="s">
        <v>376</v>
      </c>
      <c r="AD56" t="s">
        <v>36</v>
      </c>
      <c r="AE56" t="s">
        <v>377</v>
      </c>
      <c r="AF56" t="s">
        <v>378</v>
      </c>
      <c r="AG56" s="1" t="s">
        <v>379</v>
      </c>
    </row>
    <row r="57" spans="1:33" ht="15" customHeight="1" x14ac:dyDescent="0.25">
      <c r="A57" t="s">
        <v>380</v>
      </c>
      <c r="B57" t="s">
        <v>381</v>
      </c>
      <c r="C57">
        <v>3</v>
      </c>
      <c r="D57" t="s">
        <v>56</v>
      </c>
      <c r="E57" t="s">
        <v>382</v>
      </c>
      <c r="F57" t="s">
        <v>36</v>
      </c>
      <c r="G57" t="s">
        <v>159</v>
      </c>
      <c r="H57">
        <v>12</v>
      </c>
      <c r="I57">
        <v>2</v>
      </c>
      <c r="J57" t="s">
        <v>383</v>
      </c>
      <c r="K57">
        <v>49</v>
      </c>
      <c r="L57" t="s">
        <v>144</v>
      </c>
      <c r="M57">
        <v>30</v>
      </c>
      <c r="N57">
        <v>14</v>
      </c>
      <c r="O57">
        <v>14</v>
      </c>
      <c r="P57">
        <v>11</v>
      </c>
      <c r="Q57">
        <v>5</v>
      </c>
      <c r="R57">
        <v>10</v>
      </c>
      <c r="S57">
        <v>4</v>
      </c>
      <c r="T57">
        <v>2</v>
      </c>
      <c r="U57">
        <v>2</v>
      </c>
      <c r="V57">
        <v>0</v>
      </c>
      <c r="W57">
        <v>-3</v>
      </c>
      <c r="X57">
        <v>0</v>
      </c>
      <c r="Y57">
        <v>-3</v>
      </c>
      <c r="Z57" t="s">
        <v>36</v>
      </c>
      <c r="AA57" t="s">
        <v>326</v>
      </c>
      <c r="AB57" t="s">
        <v>36</v>
      </c>
      <c r="AC57" t="s">
        <v>384</v>
      </c>
      <c r="AD57" t="s">
        <v>36</v>
      </c>
      <c r="AE57" t="s">
        <v>385</v>
      </c>
      <c r="AF57" t="s">
        <v>386</v>
      </c>
      <c r="AG57" s="1" t="s">
        <v>387</v>
      </c>
    </row>
    <row r="58" spans="1:33" ht="15" customHeight="1" x14ac:dyDescent="0.25">
      <c r="A58" t="s">
        <v>388</v>
      </c>
      <c r="B58" t="s">
        <v>389</v>
      </c>
      <c r="C58">
        <v>0.125</v>
      </c>
      <c r="D58" t="s">
        <v>82</v>
      </c>
      <c r="E58" t="s">
        <v>83</v>
      </c>
      <c r="F58" t="s">
        <v>36</v>
      </c>
      <c r="G58" t="s">
        <v>46</v>
      </c>
      <c r="H58">
        <v>12</v>
      </c>
      <c r="I58">
        <v>1</v>
      </c>
      <c r="J58" t="s">
        <v>390</v>
      </c>
      <c r="K58">
        <v>9</v>
      </c>
      <c r="L58" t="s">
        <v>85</v>
      </c>
      <c r="M58">
        <v>30</v>
      </c>
      <c r="N58">
        <v>11</v>
      </c>
      <c r="O58">
        <v>12</v>
      </c>
      <c r="P58">
        <v>10</v>
      </c>
      <c r="Q58">
        <v>10</v>
      </c>
      <c r="R58">
        <v>11</v>
      </c>
      <c r="S58">
        <v>10</v>
      </c>
      <c r="T58">
        <v>0</v>
      </c>
      <c r="U58">
        <v>1</v>
      </c>
      <c r="V58">
        <v>0</v>
      </c>
      <c r="W58">
        <v>0</v>
      </c>
      <c r="X58">
        <v>2</v>
      </c>
      <c r="Y58">
        <v>0</v>
      </c>
      <c r="Z58" t="s">
        <v>391</v>
      </c>
      <c r="AA58" t="s">
        <v>36</v>
      </c>
      <c r="AB58" t="s">
        <v>36</v>
      </c>
      <c r="AC58" t="s">
        <v>36</v>
      </c>
      <c r="AD58" t="s">
        <v>392</v>
      </c>
      <c r="AE58" t="s">
        <v>99</v>
      </c>
      <c r="AF58" t="s">
        <v>170</v>
      </c>
      <c r="AG58" s="1" t="s">
        <v>393</v>
      </c>
    </row>
    <row r="59" spans="1:33" ht="15" customHeight="1" x14ac:dyDescent="0.25">
      <c r="A59" t="s">
        <v>394</v>
      </c>
      <c r="B59" t="s">
        <v>389</v>
      </c>
      <c r="C59">
        <v>2</v>
      </c>
      <c r="D59" t="s">
        <v>82</v>
      </c>
      <c r="E59" t="s">
        <v>83</v>
      </c>
      <c r="F59" t="s">
        <v>36</v>
      </c>
      <c r="G59" t="s">
        <v>46</v>
      </c>
      <c r="H59">
        <v>13</v>
      </c>
      <c r="I59">
        <v>2</v>
      </c>
      <c r="J59" t="s">
        <v>395</v>
      </c>
      <c r="K59">
        <v>44</v>
      </c>
      <c r="L59" t="s">
        <v>85</v>
      </c>
      <c r="M59">
        <v>30</v>
      </c>
      <c r="N59">
        <v>11</v>
      </c>
      <c r="O59">
        <v>14</v>
      </c>
      <c r="P59">
        <v>12</v>
      </c>
      <c r="Q59">
        <v>10</v>
      </c>
      <c r="R59">
        <v>14</v>
      </c>
      <c r="S59">
        <v>13</v>
      </c>
      <c r="T59">
        <v>0</v>
      </c>
      <c r="U59">
        <v>2</v>
      </c>
      <c r="V59">
        <v>1</v>
      </c>
      <c r="W59">
        <v>0</v>
      </c>
      <c r="X59">
        <v>4</v>
      </c>
      <c r="Y59">
        <v>1</v>
      </c>
      <c r="Z59" t="s">
        <v>396</v>
      </c>
      <c r="AA59" t="s">
        <v>36</v>
      </c>
      <c r="AB59" t="s">
        <v>36</v>
      </c>
      <c r="AC59" t="s">
        <v>36</v>
      </c>
      <c r="AD59" t="s">
        <v>397</v>
      </c>
      <c r="AE59" t="s">
        <v>398</v>
      </c>
      <c r="AF59" t="s">
        <v>170</v>
      </c>
      <c r="AG59" s="1" t="s">
        <v>399</v>
      </c>
    </row>
    <row r="60" spans="1:33" ht="15" customHeight="1" x14ac:dyDescent="0.25">
      <c r="A60" t="s">
        <v>400</v>
      </c>
      <c r="B60" t="s">
        <v>400</v>
      </c>
      <c r="C60">
        <v>0.5</v>
      </c>
      <c r="D60" t="s">
        <v>66</v>
      </c>
      <c r="E60" t="s">
        <v>35</v>
      </c>
      <c r="F60" t="s">
        <v>36</v>
      </c>
      <c r="G60" t="s">
        <v>58</v>
      </c>
      <c r="H60">
        <v>11</v>
      </c>
      <c r="I60">
        <v>3</v>
      </c>
      <c r="J60" t="s">
        <v>347</v>
      </c>
      <c r="K60">
        <v>22</v>
      </c>
      <c r="L60" t="s">
        <v>401</v>
      </c>
      <c r="M60">
        <v>10</v>
      </c>
      <c r="N60">
        <v>16</v>
      </c>
      <c r="O60">
        <v>12</v>
      </c>
      <c r="P60">
        <v>13</v>
      </c>
      <c r="Q60">
        <v>2</v>
      </c>
      <c r="R60">
        <v>10</v>
      </c>
      <c r="S60">
        <v>5</v>
      </c>
      <c r="T60">
        <v>3</v>
      </c>
      <c r="U60">
        <v>1</v>
      </c>
      <c r="V60">
        <v>1</v>
      </c>
      <c r="W60">
        <v>-4</v>
      </c>
      <c r="X60">
        <v>0</v>
      </c>
      <c r="Y60">
        <v>-3</v>
      </c>
      <c r="Z60" t="s">
        <v>402</v>
      </c>
      <c r="AA60" t="s">
        <v>36</v>
      </c>
      <c r="AB60" t="s">
        <v>36</v>
      </c>
      <c r="AC60" t="s">
        <v>36</v>
      </c>
      <c r="AD60" t="s">
        <v>36</v>
      </c>
      <c r="AE60" t="s">
        <v>403</v>
      </c>
      <c r="AF60" t="s">
        <v>63</v>
      </c>
      <c r="AG60" s="1" t="s">
        <v>404</v>
      </c>
    </row>
    <row r="61" spans="1:33" ht="15" customHeight="1" x14ac:dyDescent="0.25">
      <c r="A61" t="s">
        <v>405</v>
      </c>
      <c r="B61" t="s">
        <v>405</v>
      </c>
      <c r="C61">
        <v>1</v>
      </c>
      <c r="D61" t="s">
        <v>56</v>
      </c>
      <c r="E61" t="s">
        <v>76</v>
      </c>
      <c r="F61" t="s">
        <v>36</v>
      </c>
      <c r="G61" t="s">
        <v>159</v>
      </c>
      <c r="H61">
        <v>12</v>
      </c>
      <c r="I61">
        <v>2</v>
      </c>
      <c r="J61" t="s">
        <v>114</v>
      </c>
      <c r="K61">
        <v>39</v>
      </c>
      <c r="L61" t="s">
        <v>210</v>
      </c>
      <c r="M61">
        <v>40</v>
      </c>
      <c r="N61">
        <v>15</v>
      </c>
      <c r="O61">
        <v>14</v>
      </c>
      <c r="P61">
        <v>14</v>
      </c>
      <c r="Q61">
        <v>3</v>
      </c>
      <c r="R61">
        <v>13</v>
      </c>
      <c r="S61">
        <v>6</v>
      </c>
      <c r="T61">
        <v>2</v>
      </c>
      <c r="U61">
        <v>2</v>
      </c>
      <c r="V61">
        <v>2</v>
      </c>
      <c r="W61">
        <v>-4</v>
      </c>
      <c r="X61">
        <v>1</v>
      </c>
      <c r="Y61">
        <v>-2</v>
      </c>
      <c r="Z61" t="s">
        <v>406</v>
      </c>
      <c r="AA61" t="s">
        <v>36</v>
      </c>
      <c r="AB61" t="s">
        <v>36</v>
      </c>
      <c r="AC61" t="s">
        <v>407</v>
      </c>
      <c r="AD61" t="s">
        <v>36</v>
      </c>
      <c r="AE61" t="s">
        <v>408</v>
      </c>
      <c r="AF61" t="s">
        <v>63</v>
      </c>
      <c r="AG61" s="1" t="s">
        <v>409</v>
      </c>
    </row>
    <row r="62" spans="1:33" ht="15" customHeight="1" x14ac:dyDescent="0.25">
      <c r="A62" t="s">
        <v>410</v>
      </c>
      <c r="B62" t="s">
        <v>410</v>
      </c>
      <c r="C62">
        <v>10</v>
      </c>
      <c r="D62" t="s">
        <v>56</v>
      </c>
      <c r="E62" t="s">
        <v>373</v>
      </c>
      <c r="F62" t="s">
        <v>411</v>
      </c>
      <c r="G62" t="s">
        <v>208</v>
      </c>
      <c r="H62">
        <v>17</v>
      </c>
      <c r="I62">
        <v>4</v>
      </c>
      <c r="J62" t="s">
        <v>412</v>
      </c>
      <c r="K62">
        <v>229</v>
      </c>
      <c r="L62" t="s">
        <v>413</v>
      </c>
      <c r="M62">
        <v>30</v>
      </c>
      <c r="N62">
        <v>18</v>
      </c>
      <c r="O62">
        <v>18</v>
      </c>
      <c r="P62">
        <v>18</v>
      </c>
      <c r="Q62">
        <v>17</v>
      </c>
      <c r="R62">
        <v>20</v>
      </c>
      <c r="S62">
        <v>20</v>
      </c>
      <c r="T62">
        <v>4</v>
      </c>
      <c r="U62">
        <v>4</v>
      </c>
      <c r="V62">
        <v>4</v>
      </c>
      <c r="W62">
        <v>3</v>
      </c>
      <c r="X62">
        <v>9</v>
      </c>
      <c r="Y62">
        <v>9</v>
      </c>
      <c r="Z62" t="s">
        <v>414</v>
      </c>
      <c r="AA62" t="s">
        <v>415</v>
      </c>
      <c r="AB62" t="s">
        <v>36</v>
      </c>
      <c r="AC62" t="s">
        <v>416</v>
      </c>
      <c r="AD62" t="s">
        <v>36</v>
      </c>
      <c r="AE62" t="s">
        <v>417</v>
      </c>
      <c r="AF62" t="s">
        <v>378</v>
      </c>
      <c r="AG62" s="1" t="s">
        <v>418</v>
      </c>
    </row>
    <row r="63" spans="1:33" ht="15" customHeight="1" x14ac:dyDescent="0.25">
      <c r="A63" t="s">
        <v>419</v>
      </c>
      <c r="B63" t="s">
        <v>419</v>
      </c>
      <c r="C63">
        <v>11</v>
      </c>
      <c r="D63" t="s">
        <v>34</v>
      </c>
      <c r="E63" t="s">
        <v>45</v>
      </c>
      <c r="F63" t="s">
        <v>420</v>
      </c>
      <c r="G63" t="s">
        <v>46</v>
      </c>
      <c r="H63">
        <v>17</v>
      </c>
      <c r="I63">
        <v>2</v>
      </c>
      <c r="J63" t="s">
        <v>421</v>
      </c>
      <c r="K63">
        <v>218</v>
      </c>
      <c r="L63" t="s">
        <v>413</v>
      </c>
      <c r="M63">
        <v>30</v>
      </c>
      <c r="N63">
        <v>21</v>
      </c>
      <c r="O63">
        <v>15</v>
      </c>
      <c r="P63">
        <v>22</v>
      </c>
      <c r="Q63">
        <v>15</v>
      </c>
      <c r="R63">
        <v>16</v>
      </c>
      <c r="S63">
        <v>20</v>
      </c>
      <c r="T63">
        <v>5</v>
      </c>
      <c r="U63">
        <v>6</v>
      </c>
      <c r="V63">
        <v>6</v>
      </c>
      <c r="W63">
        <v>2</v>
      </c>
      <c r="X63">
        <v>7</v>
      </c>
      <c r="Y63">
        <v>5</v>
      </c>
      <c r="Z63" t="s">
        <v>36</v>
      </c>
      <c r="AA63" t="s">
        <v>36</v>
      </c>
      <c r="AB63" t="s">
        <v>36</v>
      </c>
      <c r="AC63" t="s">
        <v>422</v>
      </c>
      <c r="AD63" t="s">
        <v>36</v>
      </c>
      <c r="AE63" t="s">
        <v>423</v>
      </c>
      <c r="AF63" t="s">
        <v>52</v>
      </c>
      <c r="AG63" s="1" t="s">
        <v>424</v>
      </c>
    </row>
    <row r="64" spans="1:33" ht="15" customHeight="1" x14ac:dyDescent="0.25">
      <c r="A64" t="s">
        <v>425</v>
      </c>
      <c r="B64" t="s">
        <v>425</v>
      </c>
      <c r="C64">
        <v>3</v>
      </c>
      <c r="D64" t="s">
        <v>56</v>
      </c>
      <c r="E64" t="s">
        <v>76</v>
      </c>
      <c r="F64" t="s">
        <v>36</v>
      </c>
      <c r="G64" t="s">
        <v>46</v>
      </c>
      <c r="H64">
        <v>14</v>
      </c>
      <c r="I64">
        <v>4</v>
      </c>
      <c r="J64" t="s">
        <v>137</v>
      </c>
      <c r="K64">
        <v>52</v>
      </c>
      <c r="L64" t="s">
        <v>85</v>
      </c>
      <c r="M64">
        <v>30</v>
      </c>
      <c r="N64">
        <v>11</v>
      </c>
      <c r="O64">
        <v>18</v>
      </c>
      <c r="P64">
        <v>14</v>
      </c>
      <c r="Q64">
        <v>11</v>
      </c>
      <c r="R64">
        <v>12</v>
      </c>
      <c r="S64">
        <v>14</v>
      </c>
      <c r="T64">
        <v>0</v>
      </c>
      <c r="U64">
        <v>4</v>
      </c>
      <c r="V64">
        <v>2</v>
      </c>
      <c r="W64">
        <v>0</v>
      </c>
      <c r="X64">
        <v>1</v>
      </c>
      <c r="Y64">
        <v>2</v>
      </c>
      <c r="Z64" t="s">
        <v>426</v>
      </c>
      <c r="AA64" t="s">
        <v>36</v>
      </c>
      <c r="AB64" t="s">
        <v>36</v>
      </c>
      <c r="AC64" t="s">
        <v>427</v>
      </c>
      <c r="AD64" t="s">
        <v>36</v>
      </c>
      <c r="AE64" t="s">
        <v>283</v>
      </c>
      <c r="AF64" t="s">
        <v>428</v>
      </c>
      <c r="AG64" s="1" t="s">
        <v>429</v>
      </c>
    </row>
    <row r="65" spans="1:33" ht="15" customHeight="1" x14ac:dyDescent="0.25">
      <c r="A65" t="s">
        <v>430</v>
      </c>
      <c r="B65" t="s">
        <v>430</v>
      </c>
      <c r="C65">
        <v>17</v>
      </c>
      <c r="D65" t="s">
        <v>194</v>
      </c>
      <c r="E65" t="s">
        <v>174</v>
      </c>
      <c r="F65" t="s">
        <v>36</v>
      </c>
      <c r="G65" t="s">
        <v>46</v>
      </c>
      <c r="H65">
        <v>20</v>
      </c>
      <c r="I65">
        <v>6</v>
      </c>
      <c r="J65" t="s">
        <v>431</v>
      </c>
      <c r="K65">
        <v>356</v>
      </c>
      <c r="L65" t="s">
        <v>432</v>
      </c>
      <c r="M65">
        <v>20</v>
      </c>
      <c r="N65">
        <v>25</v>
      </c>
      <c r="O65">
        <v>10</v>
      </c>
      <c r="P65">
        <v>20</v>
      </c>
      <c r="Q65">
        <v>10</v>
      </c>
      <c r="R65">
        <v>12</v>
      </c>
      <c r="S65">
        <v>12</v>
      </c>
      <c r="T65">
        <v>7</v>
      </c>
      <c r="U65">
        <v>0</v>
      </c>
      <c r="V65">
        <v>11</v>
      </c>
      <c r="W65">
        <v>0</v>
      </c>
      <c r="X65">
        <v>7</v>
      </c>
      <c r="Y65">
        <v>1</v>
      </c>
      <c r="Z65" t="s">
        <v>36</v>
      </c>
      <c r="AA65" t="s">
        <v>98</v>
      </c>
      <c r="AB65" t="s">
        <v>36</v>
      </c>
      <c r="AC65" t="s">
        <v>36</v>
      </c>
      <c r="AD65" t="s">
        <v>36</v>
      </c>
      <c r="AE65" t="s">
        <v>433</v>
      </c>
      <c r="AF65" t="s">
        <v>434</v>
      </c>
      <c r="AG65" s="1" t="s">
        <v>435</v>
      </c>
    </row>
    <row r="66" spans="1:33" ht="15" customHeight="1" x14ac:dyDescent="0.25">
      <c r="A66" t="s">
        <v>436</v>
      </c>
      <c r="B66" t="s">
        <v>436</v>
      </c>
      <c r="C66">
        <v>0.25</v>
      </c>
      <c r="D66" t="s">
        <v>66</v>
      </c>
      <c r="E66" t="s">
        <v>120</v>
      </c>
      <c r="F66" t="s">
        <v>121</v>
      </c>
      <c r="G66" t="s">
        <v>122</v>
      </c>
      <c r="H66">
        <v>11</v>
      </c>
      <c r="I66">
        <v>0</v>
      </c>
      <c r="J66" t="s">
        <v>437</v>
      </c>
      <c r="K66">
        <v>18</v>
      </c>
      <c r="L66" t="s">
        <v>96</v>
      </c>
      <c r="M66">
        <v>20</v>
      </c>
      <c r="N66">
        <v>12</v>
      </c>
      <c r="O66">
        <v>11</v>
      </c>
      <c r="P66">
        <v>12</v>
      </c>
      <c r="Q66">
        <v>5</v>
      </c>
      <c r="R66">
        <v>8</v>
      </c>
      <c r="S66">
        <v>3</v>
      </c>
      <c r="T66">
        <v>1</v>
      </c>
      <c r="U66">
        <v>0</v>
      </c>
      <c r="V66">
        <v>1</v>
      </c>
      <c r="W66">
        <v>-3</v>
      </c>
      <c r="X66">
        <v>-1</v>
      </c>
      <c r="Y66">
        <v>-4</v>
      </c>
      <c r="Z66" t="s">
        <v>36</v>
      </c>
      <c r="AA66" t="s">
        <v>438</v>
      </c>
      <c r="AB66" t="s">
        <v>36</v>
      </c>
      <c r="AC66" t="s">
        <v>320</v>
      </c>
      <c r="AD66" t="s">
        <v>36</v>
      </c>
      <c r="AE66" t="s">
        <v>151</v>
      </c>
      <c r="AF66" t="s">
        <v>439</v>
      </c>
      <c r="AG66" s="1" t="s">
        <v>440</v>
      </c>
    </row>
    <row r="67" spans="1:33" ht="15" customHeight="1" x14ac:dyDescent="0.25">
      <c r="A67" t="s">
        <v>441</v>
      </c>
      <c r="B67" t="s">
        <v>441</v>
      </c>
      <c r="C67">
        <v>6</v>
      </c>
      <c r="D67" t="s">
        <v>34</v>
      </c>
      <c r="E67" t="s">
        <v>76</v>
      </c>
      <c r="F67" t="s">
        <v>36</v>
      </c>
      <c r="G67" t="s">
        <v>122</v>
      </c>
      <c r="H67">
        <v>19</v>
      </c>
      <c r="I67">
        <v>4</v>
      </c>
      <c r="J67" t="s">
        <v>325</v>
      </c>
      <c r="K67">
        <v>123</v>
      </c>
      <c r="L67" t="s">
        <v>144</v>
      </c>
      <c r="M67">
        <v>30</v>
      </c>
      <c r="N67">
        <v>16</v>
      </c>
      <c r="O67">
        <v>19</v>
      </c>
      <c r="P67">
        <v>18</v>
      </c>
      <c r="Q67">
        <v>13</v>
      </c>
      <c r="R67">
        <v>16</v>
      </c>
      <c r="S67">
        <v>12</v>
      </c>
      <c r="T67">
        <v>3</v>
      </c>
      <c r="U67">
        <v>4</v>
      </c>
      <c r="V67">
        <v>4</v>
      </c>
      <c r="W67">
        <v>1</v>
      </c>
      <c r="X67">
        <v>3</v>
      </c>
      <c r="Y67">
        <v>1</v>
      </c>
      <c r="Z67" t="s">
        <v>442</v>
      </c>
      <c r="AA67" t="s">
        <v>36</v>
      </c>
      <c r="AB67" t="s">
        <v>36</v>
      </c>
      <c r="AC67" t="s">
        <v>36</v>
      </c>
      <c r="AD67" t="s">
        <v>36</v>
      </c>
      <c r="AE67" t="s">
        <v>443</v>
      </c>
      <c r="AF67" t="s">
        <v>444</v>
      </c>
      <c r="AG67" s="1" t="s">
        <v>445</v>
      </c>
    </row>
    <row r="68" spans="1:33" ht="15" customHeight="1" x14ac:dyDescent="0.25">
      <c r="A68" t="s">
        <v>446</v>
      </c>
      <c r="B68" t="s">
        <v>446</v>
      </c>
      <c r="C68">
        <v>2</v>
      </c>
      <c r="D68" t="s">
        <v>82</v>
      </c>
      <c r="E68" t="s">
        <v>83</v>
      </c>
      <c r="F68" t="s">
        <v>446</v>
      </c>
      <c r="G68" t="s">
        <v>46</v>
      </c>
      <c r="H68">
        <v>13</v>
      </c>
      <c r="I68">
        <v>1</v>
      </c>
      <c r="J68" t="s">
        <v>395</v>
      </c>
      <c r="K68">
        <v>44</v>
      </c>
      <c r="L68" t="s">
        <v>85</v>
      </c>
      <c r="M68">
        <v>30</v>
      </c>
      <c r="N68">
        <v>10</v>
      </c>
      <c r="O68">
        <v>12</v>
      </c>
      <c r="P68">
        <v>13</v>
      </c>
      <c r="Q68">
        <v>12</v>
      </c>
      <c r="R68">
        <v>16</v>
      </c>
      <c r="S68">
        <v>11</v>
      </c>
      <c r="T68">
        <v>0</v>
      </c>
      <c r="U68">
        <v>1</v>
      </c>
      <c r="V68">
        <v>1</v>
      </c>
      <c r="W68">
        <v>1</v>
      </c>
      <c r="X68">
        <v>3</v>
      </c>
      <c r="Y68">
        <v>0</v>
      </c>
      <c r="Z68" t="s">
        <v>447</v>
      </c>
      <c r="AA68" t="s">
        <v>36</v>
      </c>
      <c r="AB68" t="s">
        <v>36</v>
      </c>
      <c r="AC68" t="s">
        <v>36</v>
      </c>
      <c r="AD68" t="s">
        <v>448</v>
      </c>
      <c r="AE68" t="s">
        <v>449</v>
      </c>
      <c r="AF68" t="s">
        <v>450</v>
      </c>
      <c r="AG68" s="1" t="s">
        <v>451</v>
      </c>
    </row>
    <row r="69" spans="1:33" ht="15" customHeight="1" x14ac:dyDescent="0.25">
      <c r="A69" t="s">
        <v>452</v>
      </c>
      <c r="B69" t="s">
        <v>452</v>
      </c>
      <c r="C69">
        <v>1</v>
      </c>
      <c r="D69" t="s">
        <v>56</v>
      </c>
      <c r="E69" t="s">
        <v>207</v>
      </c>
      <c r="F69" t="s">
        <v>36</v>
      </c>
      <c r="G69" t="s">
        <v>46</v>
      </c>
      <c r="H69">
        <v>16</v>
      </c>
      <c r="I69">
        <v>1</v>
      </c>
      <c r="J69" t="s">
        <v>453</v>
      </c>
      <c r="K69">
        <v>22</v>
      </c>
      <c r="L69" t="s">
        <v>85</v>
      </c>
      <c r="M69">
        <v>30</v>
      </c>
      <c r="N69">
        <v>10</v>
      </c>
      <c r="O69">
        <v>12</v>
      </c>
      <c r="P69">
        <v>11</v>
      </c>
      <c r="Q69">
        <v>14</v>
      </c>
      <c r="R69">
        <v>15</v>
      </c>
      <c r="S69">
        <v>18</v>
      </c>
      <c r="T69">
        <v>0</v>
      </c>
      <c r="U69">
        <v>1</v>
      </c>
      <c r="V69">
        <v>0</v>
      </c>
      <c r="W69">
        <v>2</v>
      </c>
      <c r="X69">
        <v>2</v>
      </c>
      <c r="Y69">
        <v>4</v>
      </c>
      <c r="Z69" t="s">
        <v>454</v>
      </c>
      <c r="AA69" t="s">
        <v>36</v>
      </c>
      <c r="AB69" t="s">
        <v>36</v>
      </c>
      <c r="AC69" t="s">
        <v>36</v>
      </c>
      <c r="AD69" t="s">
        <v>36</v>
      </c>
      <c r="AE69" t="s">
        <v>321</v>
      </c>
      <c r="AF69" t="s">
        <v>302</v>
      </c>
      <c r="AG69" s="1" t="s">
        <v>455</v>
      </c>
    </row>
    <row r="70" spans="1:33" ht="15" customHeight="1" x14ac:dyDescent="0.25">
      <c r="A70" t="s">
        <v>456</v>
      </c>
      <c r="B70" t="s">
        <v>456</v>
      </c>
      <c r="C70">
        <v>5</v>
      </c>
      <c r="D70" t="s">
        <v>34</v>
      </c>
      <c r="E70" t="s">
        <v>45</v>
      </c>
      <c r="F70" t="s">
        <v>36</v>
      </c>
      <c r="G70" t="s">
        <v>46</v>
      </c>
      <c r="H70">
        <v>17</v>
      </c>
      <c r="I70">
        <v>-1</v>
      </c>
      <c r="J70" t="s">
        <v>457</v>
      </c>
      <c r="K70">
        <v>147</v>
      </c>
      <c r="L70" t="s">
        <v>458</v>
      </c>
      <c r="M70">
        <v>30</v>
      </c>
      <c r="N70">
        <v>20</v>
      </c>
      <c r="O70">
        <v>8</v>
      </c>
      <c r="P70">
        <v>20</v>
      </c>
      <c r="Q70">
        <v>5</v>
      </c>
      <c r="R70">
        <v>10</v>
      </c>
      <c r="S70">
        <v>5</v>
      </c>
      <c r="T70">
        <v>5</v>
      </c>
      <c r="U70">
        <v>-1</v>
      </c>
      <c r="V70">
        <v>5</v>
      </c>
      <c r="W70">
        <v>-3</v>
      </c>
      <c r="X70">
        <v>0</v>
      </c>
      <c r="Y70">
        <v>-3</v>
      </c>
      <c r="Z70" t="s">
        <v>36</v>
      </c>
      <c r="AA70" t="s">
        <v>36</v>
      </c>
      <c r="AB70" t="s">
        <v>459</v>
      </c>
      <c r="AC70" t="s">
        <v>460</v>
      </c>
      <c r="AD70" t="s">
        <v>36</v>
      </c>
      <c r="AE70" t="s">
        <v>461</v>
      </c>
      <c r="AF70" t="s">
        <v>462</v>
      </c>
      <c r="AG70" s="1" t="s">
        <v>463</v>
      </c>
    </row>
    <row r="71" spans="1:33" ht="15" customHeight="1" x14ac:dyDescent="0.25">
      <c r="A71" t="s">
        <v>464</v>
      </c>
      <c r="B71" t="s">
        <v>464</v>
      </c>
      <c r="C71">
        <v>11</v>
      </c>
      <c r="D71" t="s">
        <v>34</v>
      </c>
      <c r="E71" t="s">
        <v>45</v>
      </c>
      <c r="F71" t="s">
        <v>420</v>
      </c>
      <c r="G71" t="s">
        <v>46</v>
      </c>
      <c r="H71">
        <v>17</v>
      </c>
      <c r="I71">
        <v>1</v>
      </c>
      <c r="J71" t="s">
        <v>465</v>
      </c>
      <c r="K71">
        <v>212</v>
      </c>
      <c r="L71" t="s">
        <v>466</v>
      </c>
      <c r="M71">
        <v>40</v>
      </c>
      <c r="N71">
        <v>22</v>
      </c>
      <c r="O71">
        <v>12</v>
      </c>
      <c r="P71">
        <v>24</v>
      </c>
      <c r="Q71">
        <v>16</v>
      </c>
      <c r="R71">
        <v>15</v>
      </c>
      <c r="S71">
        <v>19</v>
      </c>
      <c r="T71">
        <v>6</v>
      </c>
      <c r="U71">
        <v>1</v>
      </c>
      <c r="V71">
        <v>7</v>
      </c>
      <c r="W71">
        <v>3</v>
      </c>
      <c r="X71">
        <v>6</v>
      </c>
      <c r="Y71">
        <v>8</v>
      </c>
      <c r="Z71" t="s">
        <v>36</v>
      </c>
      <c r="AA71" t="s">
        <v>36</v>
      </c>
      <c r="AB71" t="s">
        <v>36</v>
      </c>
      <c r="AC71" t="s">
        <v>98</v>
      </c>
      <c r="AD71" t="s">
        <v>36</v>
      </c>
      <c r="AE71" t="s">
        <v>335</v>
      </c>
      <c r="AF71" t="s">
        <v>117</v>
      </c>
      <c r="AG71" s="1" t="s">
        <v>467</v>
      </c>
    </row>
    <row r="72" spans="1:33" ht="15" customHeight="1" x14ac:dyDescent="0.25">
      <c r="A72" t="s">
        <v>468</v>
      </c>
      <c r="B72" t="s">
        <v>468</v>
      </c>
      <c r="C72">
        <v>12</v>
      </c>
      <c r="D72" t="s">
        <v>56</v>
      </c>
      <c r="E72" t="s">
        <v>120</v>
      </c>
      <c r="F72" t="s">
        <v>142</v>
      </c>
      <c r="G72" t="s">
        <v>37</v>
      </c>
      <c r="H72">
        <v>18</v>
      </c>
      <c r="I72">
        <v>7</v>
      </c>
      <c r="J72" t="s">
        <v>469</v>
      </c>
      <c r="K72">
        <v>178</v>
      </c>
      <c r="L72" t="s">
        <v>311</v>
      </c>
      <c r="M72">
        <v>30</v>
      </c>
      <c r="N72">
        <v>18</v>
      </c>
      <c r="O72">
        <v>16</v>
      </c>
      <c r="P72">
        <v>18</v>
      </c>
      <c r="Q72">
        <v>14</v>
      </c>
      <c r="R72">
        <v>14</v>
      </c>
      <c r="S72">
        <v>18</v>
      </c>
      <c r="T72">
        <v>4</v>
      </c>
      <c r="U72">
        <v>7</v>
      </c>
      <c r="V72">
        <v>8</v>
      </c>
      <c r="W72">
        <v>2</v>
      </c>
      <c r="X72">
        <v>2</v>
      </c>
      <c r="Y72">
        <v>8</v>
      </c>
      <c r="Z72" t="s">
        <v>470</v>
      </c>
      <c r="AA72" t="s">
        <v>146</v>
      </c>
      <c r="AB72" t="s">
        <v>36</v>
      </c>
      <c r="AC72" t="s">
        <v>115</v>
      </c>
      <c r="AD72" t="s">
        <v>36</v>
      </c>
      <c r="AE72" t="s">
        <v>471</v>
      </c>
      <c r="AF72" t="s">
        <v>148</v>
      </c>
      <c r="AG72" s="1" t="s">
        <v>472</v>
      </c>
    </row>
    <row r="73" spans="1:33" ht="15" customHeight="1" x14ac:dyDescent="0.25">
      <c r="A73" t="s">
        <v>473</v>
      </c>
      <c r="B73" t="s">
        <v>473</v>
      </c>
      <c r="C73">
        <v>2</v>
      </c>
      <c r="D73" t="s">
        <v>56</v>
      </c>
      <c r="E73" t="s">
        <v>76</v>
      </c>
      <c r="F73" t="s">
        <v>36</v>
      </c>
      <c r="G73" t="s">
        <v>159</v>
      </c>
      <c r="H73">
        <v>13</v>
      </c>
      <c r="I73">
        <v>2</v>
      </c>
      <c r="J73" t="s">
        <v>395</v>
      </c>
      <c r="K73">
        <v>44</v>
      </c>
      <c r="L73" t="s">
        <v>144</v>
      </c>
      <c r="M73">
        <v>30</v>
      </c>
      <c r="N73">
        <v>14</v>
      </c>
      <c r="O73">
        <v>15</v>
      </c>
      <c r="P73">
        <v>13</v>
      </c>
      <c r="Q73">
        <v>7</v>
      </c>
      <c r="R73">
        <v>12</v>
      </c>
      <c r="S73">
        <v>8</v>
      </c>
      <c r="T73">
        <v>2</v>
      </c>
      <c r="U73">
        <v>2</v>
      </c>
      <c r="V73">
        <v>1</v>
      </c>
      <c r="W73">
        <v>-2</v>
      </c>
      <c r="X73">
        <v>1</v>
      </c>
      <c r="Y73">
        <v>-1</v>
      </c>
      <c r="Z73" t="s">
        <v>474</v>
      </c>
      <c r="AA73" t="s">
        <v>36</v>
      </c>
      <c r="AB73" t="s">
        <v>36</v>
      </c>
      <c r="AC73" t="s">
        <v>36</v>
      </c>
      <c r="AD73" t="s">
        <v>36</v>
      </c>
      <c r="AE73" t="s">
        <v>475</v>
      </c>
      <c r="AF73" t="s">
        <v>63</v>
      </c>
      <c r="AG73" s="1" t="s">
        <v>476</v>
      </c>
    </row>
    <row r="74" spans="1:33" ht="15" customHeight="1" x14ac:dyDescent="0.25">
      <c r="A74" t="s">
        <v>477</v>
      </c>
      <c r="B74" t="s">
        <v>477</v>
      </c>
      <c r="C74">
        <v>4</v>
      </c>
      <c r="D74" t="s">
        <v>34</v>
      </c>
      <c r="E74" t="s">
        <v>339</v>
      </c>
      <c r="F74" t="s">
        <v>36</v>
      </c>
      <c r="G74" t="s">
        <v>122</v>
      </c>
      <c r="H74">
        <v>12</v>
      </c>
      <c r="I74">
        <v>-1</v>
      </c>
      <c r="J74" t="s">
        <v>478</v>
      </c>
      <c r="K74">
        <v>85</v>
      </c>
      <c r="L74" t="s">
        <v>210</v>
      </c>
      <c r="M74">
        <v>40</v>
      </c>
      <c r="N74">
        <v>21</v>
      </c>
      <c r="O74">
        <v>8</v>
      </c>
      <c r="P74">
        <v>17</v>
      </c>
      <c r="Q74">
        <v>6</v>
      </c>
      <c r="R74">
        <v>10</v>
      </c>
      <c r="S74">
        <v>8</v>
      </c>
      <c r="T74">
        <v>5</v>
      </c>
      <c r="U74">
        <v>-1</v>
      </c>
      <c r="V74">
        <v>3</v>
      </c>
      <c r="W74">
        <v>-2</v>
      </c>
      <c r="X74">
        <v>0</v>
      </c>
      <c r="Y74">
        <v>-1</v>
      </c>
      <c r="Z74" t="s">
        <v>319</v>
      </c>
      <c r="AA74" t="s">
        <v>36</v>
      </c>
      <c r="AB74" t="s">
        <v>36</v>
      </c>
      <c r="AC74" t="s">
        <v>407</v>
      </c>
      <c r="AD74" t="s">
        <v>479</v>
      </c>
      <c r="AE74" t="s">
        <v>321</v>
      </c>
      <c r="AF74" t="s">
        <v>339</v>
      </c>
      <c r="AG74" s="1" t="s">
        <v>480</v>
      </c>
    </row>
    <row r="75" spans="1:33" ht="15" customHeight="1" x14ac:dyDescent="0.25">
      <c r="A75" t="s">
        <v>481</v>
      </c>
      <c r="B75" t="s">
        <v>481</v>
      </c>
      <c r="C75">
        <v>5</v>
      </c>
      <c r="D75" t="s">
        <v>34</v>
      </c>
      <c r="E75" t="s">
        <v>45</v>
      </c>
      <c r="F75" t="s">
        <v>36</v>
      </c>
      <c r="G75" t="s">
        <v>46</v>
      </c>
      <c r="H75">
        <v>13</v>
      </c>
      <c r="I75">
        <v>3</v>
      </c>
      <c r="J75" t="s">
        <v>482</v>
      </c>
      <c r="K75">
        <v>93</v>
      </c>
      <c r="L75" t="s">
        <v>109</v>
      </c>
      <c r="M75">
        <v>50</v>
      </c>
      <c r="N75">
        <v>10</v>
      </c>
      <c r="O75">
        <v>17</v>
      </c>
      <c r="P75">
        <v>16</v>
      </c>
      <c r="Q75">
        <v>6</v>
      </c>
      <c r="R75">
        <v>10</v>
      </c>
      <c r="S75">
        <v>7</v>
      </c>
      <c r="T75">
        <v>0</v>
      </c>
      <c r="U75">
        <v>3</v>
      </c>
      <c r="V75">
        <v>3</v>
      </c>
      <c r="W75">
        <v>-2</v>
      </c>
      <c r="X75">
        <v>0</v>
      </c>
      <c r="Y75">
        <v>-2</v>
      </c>
      <c r="Z75" t="s">
        <v>36</v>
      </c>
      <c r="AA75" t="s">
        <v>326</v>
      </c>
      <c r="AB75" t="s">
        <v>36</v>
      </c>
      <c r="AC75" t="s">
        <v>483</v>
      </c>
      <c r="AD75" t="s">
        <v>36</v>
      </c>
      <c r="AE75" t="s">
        <v>51</v>
      </c>
      <c r="AF75" t="s">
        <v>117</v>
      </c>
      <c r="AG75" s="1" t="s">
        <v>484</v>
      </c>
    </row>
    <row r="76" spans="1:33" ht="15" customHeight="1" x14ac:dyDescent="0.25">
      <c r="A76" t="s">
        <v>485</v>
      </c>
      <c r="B76" t="s">
        <v>485</v>
      </c>
      <c r="C76">
        <v>9</v>
      </c>
      <c r="D76" t="s">
        <v>103</v>
      </c>
      <c r="E76" t="s">
        <v>339</v>
      </c>
      <c r="F76" t="s">
        <v>36</v>
      </c>
      <c r="G76" t="s">
        <v>37</v>
      </c>
      <c r="H76">
        <v>18</v>
      </c>
      <c r="I76">
        <v>3</v>
      </c>
      <c r="J76" t="s">
        <v>486</v>
      </c>
      <c r="K76">
        <v>162</v>
      </c>
      <c r="L76" t="s">
        <v>85</v>
      </c>
      <c r="M76">
        <v>30</v>
      </c>
      <c r="N76">
        <v>25</v>
      </c>
      <c r="O76">
        <v>9</v>
      </c>
      <c r="P76">
        <v>23</v>
      </c>
      <c r="Q76">
        <v>10</v>
      </c>
      <c r="R76">
        <v>14</v>
      </c>
      <c r="S76">
        <v>13</v>
      </c>
      <c r="T76">
        <v>7</v>
      </c>
      <c r="U76">
        <v>3</v>
      </c>
      <c r="V76">
        <v>10</v>
      </c>
      <c r="W76">
        <v>0</v>
      </c>
      <c r="X76">
        <v>2</v>
      </c>
      <c r="Y76">
        <v>5</v>
      </c>
      <c r="Z76" t="s">
        <v>487</v>
      </c>
      <c r="AA76" t="s">
        <v>36</v>
      </c>
      <c r="AB76" t="s">
        <v>36</v>
      </c>
      <c r="AC76" t="s">
        <v>98</v>
      </c>
      <c r="AD76" t="s">
        <v>36</v>
      </c>
      <c r="AE76" t="s">
        <v>89</v>
      </c>
      <c r="AF76" t="s">
        <v>339</v>
      </c>
      <c r="AG76" s="1" t="s">
        <v>488</v>
      </c>
    </row>
    <row r="77" spans="1:33" ht="15" customHeight="1" x14ac:dyDescent="0.25">
      <c r="A77" t="s">
        <v>489</v>
      </c>
      <c r="B77" t="s">
        <v>489</v>
      </c>
      <c r="C77">
        <v>5</v>
      </c>
      <c r="D77" t="s">
        <v>56</v>
      </c>
      <c r="E77" t="s">
        <v>57</v>
      </c>
      <c r="F77" t="s">
        <v>36</v>
      </c>
      <c r="G77" t="s">
        <v>46</v>
      </c>
      <c r="H77">
        <v>9</v>
      </c>
      <c r="I77">
        <v>-1</v>
      </c>
      <c r="J77" t="s">
        <v>490</v>
      </c>
      <c r="K77">
        <v>127</v>
      </c>
      <c r="L77" t="s">
        <v>85</v>
      </c>
      <c r="M77">
        <v>30</v>
      </c>
      <c r="N77">
        <v>19</v>
      </c>
      <c r="O77">
        <v>9</v>
      </c>
      <c r="P77">
        <v>18</v>
      </c>
      <c r="Q77">
        <v>6</v>
      </c>
      <c r="R77">
        <v>10</v>
      </c>
      <c r="S77">
        <v>5</v>
      </c>
      <c r="T77">
        <v>4</v>
      </c>
      <c r="U77">
        <v>-1</v>
      </c>
      <c r="V77">
        <v>4</v>
      </c>
      <c r="W77">
        <v>-2</v>
      </c>
      <c r="X77">
        <v>0</v>
      </c>
      <c r="Y77">
        <v>-3</v>
      </c>
      <c r="Z77" t="s">
        <v>36</v>
      </c>
      <c r="AA77" t="s">
        <v>36</v>
      </c>
      <c r="AB77" t="s">
        <v>36</v>
      </c>
      <c r="AC77" t="s">
        <v>491</v>
      </c>
      <c r="AD77" t="s">
        <v>36</v>
      </c>
      <c r="AE77" t="s">
        <v>51</v>
      </c>
      <c r="AF77" t="s">
        <v>492</v>
      </c>
      <c r="AG77" s="1" t="s">
        <v>493</v>
      </c>
    </row>
    <row r="78" spans="1:33" ht="15" customHeight="1" x14ac:dyDescent="0.25">
      <c r="A78" t="s">
        <v>494</v>
      </c>
      <c r="B78" t="s">
        <v>494</v>
      </c>
      <c r="C78">
        <v>8</v>
      </c>
      <c r="D78" t="s">
        <v>103</v>
      </c>
      <c r="E78" t="s">
        <v>339</v>
      </c>
      <c r="F78" t="s">
        <v>36</v>
      </c>
      <c r="G78" t="s">
        <v>159</v>
      </c>
      <c r="H78">
        <v>15</v>
      </c>
      <c r="I78">
        <v>2</v>
      </c>
      <c r="J78" t="s">
        <v>495</v>
      </c>
      <c r="K78">
        <v>149</v>
      </c>
      <c r="L78" t="s">
        <v>210</v>
      </c>
      <c r="M78">
        <v>40</v>
      </c>
      <c r="N78">
        <v>23</v>
      </c>
      <c r="O78">
        <v>9</v>
      </c>
      <c r="P78">
        <v>21</v>
      </c>
      <c r="Q78">
        <v>9</v>
      </c>
      <c r="R78">
        <v>10</v>
      </c>
      <c r="S78">
        <v>12</v>
      </c>
      <c r="T78">
        <v>6</v>
      </c>
      <c r="U78">
        <v>-1</v>
      </c>
      <c r="V78">
        <v>8</v>
      </c>
      <c r="W78">
        <v>-1</v>
      </c>
      <c r="X78">
        <v>3</v>
      </c>
      <c r="Y78">
        <v>4</v>
      </c>
      <c r="Z78" t="s">
        <v>496</v>
      </c>
      <c r="AA78" t="s">
        <v>36</v>
      </c>
      <c r="AB78" t="s">
        <v>36</v>
      </c>
      <c r="AC78" t="s">
        <v>146</v>
      </c>
      <c r="AD78" t="s">
        <v>36</v>
      </c>
      <c r="AE78" t="s">
        <v>301</v>
      </c>
      <c r="AF78" t="s">
        <v>339</v>
      </c>
      <c r="AG78" s="1" t="s">
        <v>497</v>
      </c>
    </row>
    <row r="79" spans="1:33" ht="15" customHeight="1" x14ac:dyDescent="0.25">
      <c r="A79" t="s">
        <v>498</v>
      </c>
      <c r="B79" t="s">
        <v>499</v>
      </c>
      <c r="C79">
        <v>0</v>
      </c>
      <c r="D79" t="s">
        <v>56</v>
      </c>
      <c r="E79" t="s">
        <v>94</v>
      </c>
      <c r="F79" t="s">
        <v>36</v>
      </c>
      <c r="G79" t="s">
        <v>58</v>
      </c>
      <c r="H79">
        <v>5</v>
      </c>
      <c r="I79">
        <v>-5</v>
      </c>
      <c r="J79" t="s">
        <v>500</v>
      </c>
      <c r="K79">
        <v>13</v>
      </c>
      <c r="L79" t="s">
        <v>501</v>
      </c>
      <c r="M79">
        <v>5</v>
      </c>
      <c r="N79">
        <v>1</v>
      </c>
      <c r="O79">
        <v>1</v>
      </c>
      <c r="P79">
        <v>10</v>
      </c>
      <c r="Q79">
        <v>1</v>
      </c>
      <c r="R79">
        <v>3</v>
      </c>
      <c r="S79">
        <v>1</v>
      </c>
      <c r="T79">
        <v>-5</v>
      </c>
      <c r="U79">
        <v>-5</v>
      </c>
      <c r="V79">
        <v>0</v>
      </c>
      <c r="W79">
        <v>-5</v>
      </c>
      <c r="X79">
        <v>-4</v>
      </c>
      <c r="Y79">
        <v>-5</v>
      </c>
      <c r="Z79" t="s">
        <v>36</v>
      </c>
      <c r="AA79" t="s">
        <v>36</v>
      </c>
      <c r="AB79" t="s">
        <v>36</v>
      </c>
      <c r="AC79" t="s">
        <v>502</v>
      </c>
      <c r="AD79" t="s">
        <v>36</v>
      </c>
      <c r="AE79" t="s">
        <v>503</v>
      </c>
      <c r="AF79" t="s">
        <v>63</v>
      </c>
      <c r="AG79" s="1" t="s">
        <v>504</v>
      </c>
    </row>
    <row r="80" spans="1:33" ht="15" customHeight="1" x14ac:dyDescent="0.25">
      <c r="A80" t="s">
        <v>505</v>
      </c>
      <c r="B80" t="s">
        <v>499</v>
      </c>
      <c r="C80">
        <v>0.25</v>
      </c>
      <c r="D80" t="s">
        <v>56</v>
      </c>
      <c r="E80" t="s">
        <v>94</v>
      </c>
      <c r="F80" t="s">
        <v>36</v>
      </c>
      <c r="G80" t="s">
        <v>58</v>
      </c>
      <c r="H80">
        <v>5</v>
      </c>
      <c r="I80">
        <v>-5</v>
      </c>
      <c r="J80" t="s">
        <v>506</v>
      </c>
      <c r="K80">
        <v>18</v>
      </c>
      <c r="L80" t="s">
        <v>501</v>
      </c>
      <c r="M80">
        <v>5</v>
      </c>
      <c r="N80">
        <v>3</v>
      </c>
      <c r="O80">
        <v>1</v>
      </c>
      <c r="P80">
        <v>10</v>
      </c>
      <c r="Q80">
        <v>1</v>
      </c>
      <c r="R80">
        <v>3</v>
      </c>
      <c r="S80">
        <v>1</v>
      </c>
      <c r="T80">
        <v>-4</v>
      </c>
      <c r="U80">
        <v>-5</v>
      </c>
      <c r="V80">
        <v>0</v>
      </c>
      <c r="W80">
        <v>-5</v>
      </c>
      <c r="X80">
        <v>-4</v>
      </c>
      <c r="Y80">
        <v>-5</v>
      </c>
      <c r="Z80" t="s">
        <v>36</v>
      </c>
      <c r="AA80" t="s">
        <v>36</v>
      </c>
      <c r="AB80" t="s">
        <v>36</v>
      </c>
      <c r="AC80" t="s">
        <v>502</v>
      </c>
      <c r="AD80" t="s">
        <v>36</v>
      </c>
      <c r="AE80" t="s">
        <v>503</v>
      </c>
      <c r="AF80" t="s">
        <v>63</v>
      </c>
      <c r="AG80" s="1" t="s">
        <v>507</v>
      </c>
    </row>
    <row r="81" spans="1:33" ht="15" customHeight="1" x14ac:dyDescent="0.25">
      <c r="A81" t="s">
        <v>508</v>
      </c>
      <c r="B81" t="s">
        <v>508</v>
      </c>
      <c r="C81">
        <v>2</v>
      </c>
      <c r="D81" t="s">
        <v>56</v>
      </c>
      <c r="E81" t="s">
        <v>45</v>
      </c>
      <c r="F81" t="s">
        <v>36</v>
      </c>
      <c r="G81" t="s">
        <v>122</v>
      </c>
      <c r="H81">
        <v>15</v>
      </c>
      <c r="I81">
        <v>2</v>
      </c>
      <c r="J81" t="s">
        <v>168</v>
      </c>
      <c r="K81">
        <v>67</v>
      </c>
      <c r="L81" t="s">
        <v>311</v>
      </c>
      <c r="M81">
        <v>30</v>
      </c>
      <c r="N81">
        <v>15</v>
      </c>
      <c r="O81">
        <v>11</v>
      </c>
      <c r="P81">
        <v>16</v>
      </c>
      <c r="Q81">
        <v>6</v>
      </c>
      <c r="R81">
        <v>11</v>
      </c>
      <c r="S81">
        <v>7</v>
      </c>
      <c r="T81">
        <v>2</v>
      </c>
      <c r="U81">
        <v>0</v>
      </c>
      <c r="V81">
        <v>3</v>
      </c>
      <c r="W81">
        <v>-2</v>
      </c>
      <c r="X81">
        <v>0</v>
      </c>
      <c r="Y81">
        <v>-2</v>
      </c>
      <c r="Z81" t="s">
        <v>509</v>
      </c>
      <c r="AA81" t="s">
        <v>36</v>
      </c>
      <c r="AB81" t="s">
        <v>36</v>
      </c>
      <c r="AC81" t="s">
        <v>510</v>
      </c>
      <c r="AD81" t="s">
        <v>36</v>
      </c>
      <c r="AE81" t="s">
        <v>51</v>
      </c>
      <c r="AF81" t="s">
        <v>462</v>
      </c>
      <c r="AG81" s="1" t="s">
        <v>511</v>
      </c>
    </row>
    <row r="82" spans="1:33" ht="15" customHeight="1" x14ac:dyDescent="0.25">
      <c r="A82" t="s">
        <v>512</v>
      </c>
      <c r="B82" t="s">
        <v>512</v>
      </c>
      <c r="C82">
        <v>2</v>
      </c>
      <c r="D82" t="s">
        <v>34</v>
      </c>
      <c r="E82" t="s">
        <v>200</v>
      </c>
      <c r="F82" t="s">
        <v>36</v>
      </c>
      <c r="G82" t="s">
        <v>58</v>
      </c>
      <c r="H82">
        <v>6</v>
      </c>
      <c r="I82">
        <v>-4</v>
      </c>
      <c r="J82" t="s">
        <v>513</v>
      </c>
      <c r="K82">
        <v>63</v>
      </c>
      <c r="L82" t="s">
        <v>514</v>
      </c>
      <c r="M82">
        <v>15</v>
      </c>
      <c r="N82">
        <v>14</v>
      </c>
      <c r="O82">
        <v>3</v>
      </c>
      <c r="P82">
        <v>20</v>
      </c>
      <c r="Q82">
        <v>1</v>
      </c>
      <c r="R82">
        <v>6</v>
      </c>
      <c r="S82">
        <v>1</v>
      </c>
      <c r="T82">
        <v>2</v>
      </c>
      <c r="U82">
        <v>-4</v>
      </c>
      <c r="V82">
        <v>5</v>
      </c>
      <c r="W82">
        <v>-5</v>
      </c>
      <c r="X82">
        <v>-2</v>
      </c>
      <c r="Y82">
        <v>-5</v>
      </c>
      <c r="Z82" t="s">
        <v>36</v>
      </c>
      <c r="AA82" t="s">
        <v>36</v>
      </c>
      <c r="AB82" t="s">
        <v>36</v>
      </c>
      <c r="AC82" t="s">
        <v>515</v>
      </c>
      <c r="AD82" t="s">
        <v>36</v>
      </c>
      <c r="AE82" t="s">
        <v>204</v>
      </c>
      <c r="AF82" t="s">
        <v>63</v>
      </c>
      <c r="AG82" s="1" t="s">
        <v>516</v>
      </c>
    </row>
    <row r="83" spans="1:33" ht="15" customHeight="1" x14ac:dyDescent="0.25">
      <c r="A83" t="s">
        <v>517</v>
      </c>
      <c r="B83" t="s">
        <v>517</v>
      </c>
      <c r="C83">
        <v>2</v>
      </c>
      <c r="D83" t="s">
        <v>56</v>
      </c>
      <c r="E83" t="s">
        <v>518</v>
      </c>
      <c r="F83" t="s">
        <v>36</v>
      </c>
      <c r="G83" t="s">
        <v>122</v>
      </c>
      <c r="H83">
        <v>13</v>
      </c>
      <c r="I83">
        <v>3</v>
      </c>
      <c r="J83" t="s">
        <v>519</v>
      </c>
      <c r="K83">
        <v>36</v>
      </c>
      <c r="L83" t="s">
        <v>85</v>
      </c>
      <c r="M83">
        <v>30</v>
      </c>
      <c r="N83">
        <v>16</v>
      </c>
      <c r="O83">
        <v>17</v>
      </c>
      <c r="P83">
        <v>10</v>
      </c>
      <c r="Q83">
        <v>11</v>
      </c>
      <c r="R83">
        <v>10</v>
      </c>
      <c r="S83">
        <v>8</v>
      </c>
      <c r="T83">
        <v>3</v>
      </c>
      <c r="U83">
        <v>3</v>
      </c>
      <c r="V83">
        <v>0</v>
      </c>
      <c r="W83">
        <v>0</v>
      </c>
      <c r="X83">
        <v>2</v>
      </c>
      <c r="Y83">
        <v>-1</v>
      </c>
      <c r="Z83" t="s">
        <v>36</v>
      </c>
      <c r="AA83" t="s">
        <v>520</v>
      </c>
      <c r="AB83" t="s">
        <v>36</v>
      </c>
      <c r="AC83" t="s">
        <v>521</v>
      </c>
      <c r="AD83" t="s">
        <v>36</v>
      </c>
      <c r="AE83" t="s">
        <v>51</v>
      </c>
      <c r="AF83" t="s">
        <v>170</v>
      </c>
      <c r="AG83" s="1" t="s">
        <v>522</v>
      </c>
    </row>
    <row r="84" spans="1:33" ht="15" customHeight="1" x14ac:dyDescent="0.25">
      <c r="A84" t="s">
        <v>523</v>
      </c>
      <c r="B84" t="s">
        <v>523</v>
      </c>
      <c r="C84">
        <v>4</v>
      </c>
      <c r="D84" t="s">
        <v>56</v>
      </c>
      <c r="E84" t="s">
        <v>518</v>
      </c>
      <c r="F84" t="s">
        <v>36</v>
      </c>
      <c r="G84" t="s">
        <v>46</v>
      </c>
      <c r="H84">
        <v>11</v>
      </c>
      <c r="I84">
        <v>1</v>
      </c>
      <c r="J84" t="s">
        <v>524</v>
      </c>
      <c r="K84">
        <v>45</v>
      </c>
      <c r="L84" t="s">
        <v>525</v>
      </c>
      <c r="M84">
        <v>5</v>
      </c>
      <c r="N84">
        <v>7</v>
      </c>
      <c r="O84">
        <v>13</v>
      </c>
      <c r="P84">
        <v>10</v>
      </c>
      <c r="Q84">
        <v>10</v>
      </c>
      <c r="R84">
        <v>12</v>
      </c>
      <c r="S84">
        <v>17</v>
      </c>
      <c r="T84">
        <v>-2</v>
      </c>
      <c r="U84">
        <v>1</v>
      </c>
      <c r="V84">
        <v>0</v>
      </c>
      <c r="W84">
        <v>0</v>
      </c>
      <c r="X84">
        <v>1</v>
      </c>
      <c r="Y84">
        <v>3</v>
      </c>
      <c r="Z84" t="s">
        <v>36</v>
      </c>
      <c r="AA84" t="s">
        <v>526</v>
      </c>
      <c r="AB84" t="s">
        <v>36</v>
      </c>
      <c r="AC84" t="s">
        <v>527</v>
      </c>
      <c r="AD84" t="s">
        <v>36</v>
      </c>
      <c r="AE84" t="s">
        <v>283</v>
      </c>
      <c r="AF84" t="s">
        <v>100</v>
      </c>
      <c r="AG84" s="1" t="s">
        <v>528</v>
      </c>
    </row>
    <row r="85" spans="1:33" ht="15" customHeight="1" x14ac:dyDescent="0.25">
      <c r="A85" t="s">
        <v>529</v>
      </c>
      <c r="B85" t="s">
        <v>529</v>
      </c>
      <c r="C85">
        <v>1</v>
      </c>
      <c r="D85" t="s">
        <v>56</v>
      </c>
      <c r="E85" t="s">
        <v>518</v>
      </c>
      <c r="F85" t="s">
        <v>36</v>
      </c>
      <c r="G85" t="s">
        <v>122</v>
      </c>
      <c r="H85">
        <v>12</v>
      </c>
      <c r="I85">
        <v>2</v>
      </c>
      <c r="J85" t="s">
        <v>453</v>
      </c>
      <c r="K85">
        <v>22</v>
      </c>
      <c r="L85" t="s">
        <v>85</v>
      </c>
      <c r="M85">
        <v>30</v>
      </c>
      <c r="N85">
        <v>13</v>
      </c>
      <c r="O85">
        <v>15</v>
      </c>
      <c r="P85">
        <v>10</v>
      </c>
      <c r="Q85">
        <v>7</v>
      </c>
      <c r="R85">
        <v>10</v>
      </c>
      <c r="S85">
        <v>6</v>
      </c>
      <c r="T85">
        <v>1</v>
      </c>
      <c r="U85">
        <v>2</v>
      </c>
      <c r="V85">
        <v>0</v>
      </c>
      <c r="W85">
        <v>-2</v>
      </c>
      <c r="X85">
        <v>0</v>
      </c>
      <c r="Y85">
        <v>-2</v>
      </c>
      <c r="Z85" t="s">
        <v>36</v>
      </c>
      <c r="AA85" t="s">
        <v>36</v>
      </c>
      <c r="AB85" t="s">
        <v>36</v>
      </c>
      <c r="AC85" t="s">
        <v>521</v>
      </c>
      <c r="AD85" t="s">
        <v>36</v>
      </c>
      <c r="AE85" t="s">
        <v>51</v>
      </c>
      <c r="AF85" t="s">
        <v>170</v>
      </c>
      <c r="AG85" s="1" t="s">
        <v>530</v>
      </c>
    </row>
    <row r="86" spans="1:33" ht="15" customHeight="1" x14ac:dyDescent="0.25">
      <c r="A86" t="s">
        <v>531</v>
      </c>
      <c r="B86" t="s">
        <v>531</v>
      </c>
      <c r="C86">
        <v>2</v>
      </c>
      <c r="D86" t="s">
        <v>56</v>
      </c>
      <c r="E86" t="s">
        <v>35</v>
      </c>
      <c r="F86" t="s">
        <v>36</v>
      </c>
      <c r="G86" t="s">
        <v>330</v>
      </c>
      <c r="H86">
        <v>9</v>
      </c>
      <c r="I86">
        <v>-1</v>
      </c>
      <c r="J86" t="s">
        <v>532</v>
      </c>
      <c r="K86">
        <v>52</v>
      </c>
      <c r="L86" t="s">
        <v>533</v>
      </c>
      <c r="M86">
        <v>20</v>
      </c>
      <c r="N86">
        <v>10</v>
      </c>
      <c r="O86">
        <v>8</v>
      </c>
      <c r="P86">
        <v>16</v>
      </c>
      <c r="Q86">
        <v>3</v>
      </c>
      <c r="R86">
        <v>10</v>
      </c>
      <c r="S86">
        <v>6</v>
      </c>
      <c r="T86">
        <v>0</v>
      </c>
      <c r="U86">
        <v>-1</v>
      </c>
      <c r="V86">
        <v>3</v>
      </c>
      <c r="W86">
        <v>-4</v>
      </c>
      <c r="X86">
        <v>0</v>
      </c>
      <c r="Y86">
        <v>-2</v>
      </c>
      <c r="Z86" t="s">
        <v>36</v>
      </c>
      <c r="AA86" t="s">
        <v>36</v>
      </c>
      <c r="AB86" t="s">
        <v>36</v>
      </c>
      <c r="AC86" t="s">
        <v>534</v>
      </c>
      <c r="AD86" t="s">
        <v>36</v>
      </c>
      <c r="AE86" t="s">
        <v>51</v>
      </c>
      <c r="AF86" t="s">
        <v>63</v>
      </c>
      <c r="AG86" s="1" t="s">
        <v>535</v>
      </c>
    </row>
    <row r="87" spans="1:33" ht="15" customHeight="1" x14ac:dyDescent="0.25">
      <c r="A87" t="s">
        <v>536</v>
      </c>
      <c r="B87" t="s">
        <v>536</v>
      </c>
      <c r="C87">
        <v>9</v>
      </c>
      <c r="D87" t="s">
        <v>34</v>
      </c>
      <c r="E87" t="s">
        <v>120</v>
      </c>
      <c r="F87" t="s">
        <v>121</v>
      </c>
      <c r="G87" t="s">
        <v>122</v>
      </c>
      <c r="H87">
        <v>17</v>
      </c>
      <c r="I87">
        <v>6</v>
      </c>
      <c r="J87" t="s">
        <v>537</v>
      </c>
      <c r="K87">
        <v>189</v>
      </c>
      <c r="L87" t="s">
        <v>210</v>
      </c>
      <c r="M87">
        <v>40</v>
      </c>
      <c r="N87">
        <v>20</v>
      </c>
      <c r="O87">
        <v>15</v>
      </c>
      <c r="P87">
        <v>21</v>
      </c>
      <c r="Q87">
        <v>19</v>
      </c>
      <c r="R87">
        <v>17</v>
      </c>
      <c r="S87">
        <v>16</v>
      </c>
      <c r="T87">
        <v>9</v>
      </c>
      <c r="U87">
        <v>2</v>
      </c>
      <c r="V87">
        <v>9</v>
      </c>
      <c r="W87">
        <v>4</v>
      </c>
      <c r="X87">
        <v>7</v>
      </c>
      <c r="Y87">
        <v>7</v>
      </c>
      <c r="Z87" t="s">
        <v>538</v>
      </c>
      <c r="AA87" t="s">
        <v>438</v>
      </c>
      <c r="AB87" t="s">
        <v>36</v>
      </c>
      <c r="AC87" t="s">
        <v>320</v>
      </c>
      <c r="AD87" t="s">
        <v>36</v>
      </c>
      <c r="AE87" t="s">
        <v>539</v>
      </c>
      <c r="AF87" t="s">
        <v>129</v>
      </c>
      <c r="AG87" s="1" t="s">
        <v>540</v>
      </c>
    </row>
    <row r="88" spans="1:33" ht="15" customHeight="1" x14ac:dyDescent="0.25">
      <c r="A88" t="s">
        <v>541</v>
      </c>
      <c r="B88" t="s">
        <v>541</v>
      </c>
      <c r="C88">
        <v>5</v>
      </c>
      <c r="D88" t="s">
        <v>82</v>
      </c>
      <c r="E88" t="s">
        <v>83</v>
      </c>
      <c r="F88" t="s">
        <v>36</v>
      </c>
      <c r="G88" t="s">
        <v>46</v>
      </c>
      <c r="H88">
        <v>16</v>
      </c>
      <c r="I88">
        <v>5</v>
      </c>
      <c r="J88" t="s">
        <v>542</v>
      </c>
      <c r="K88">
        <v>112</v>
      </c>
      <c r="L88" t="s">
        <v>85</v>
      </c>
      <c r="M88">
        <v>30</v>
      </c>
      <c r="N88">
        <v>18</v>
      </c>
      <c r="O88">
        <v>15</v>
      </c>
      <c r="P88">
        <v>16</v>
      </c>
      <c r="Q88">
        <v>10</v>
      </c>
      <c r="R88">
        <v>12</v>
      </c>
      <c r="S88">
        <v>15</v>
      </c>
      <c r="T88">
        <v>7</v>
      </c>
      <c r="U88">
        <v>5</v>
      </c>
      <c r="V88">
        <v>6</v>
      </c>
      <c r="W88">
        <v>0</v>
      </c>
      <c r="X88">
        <v>4</v>
      </c>
      <c r="Y88">
        <v>2</v>
      </c>
      <c r="Z88" t="s">
        <v>543</v>
      </c>
      <c r="AA88" t="s">
        <v>36</v>
      </c>
      <c r="AB88" t="s">
        <v>36</v>
      </c>
      <c r="AC88" t="s">
        <v>36</v>
      </c>
      <c r="AD88" t="s">
        <v>544</v>
      </c>
      <c r="AE88" t="s">
        <v>116</v>
      </c>
      <c r="AF88" t="s">
        <v>170</v>
      </c>
      <c r="AG88" s="1" t="s">
        <v>545</v>
      </c>
    </row>
    <row r="89" spans="1:33" ht="15" customHeight="1" x14ac:dyDescent="0.25">
      <c r="A89" t="s">
        <v>546</v>
      </c>
      <c r="B89" t="s">
        <v>547</v>
      </c>
      <c r="C89">
        <v>0.5</v>
      </c>
      <c r="D89" t="s">
        <v>56</v>
      </c>
      <c r="E89" t="s">
        <v>120</v>
      </c>
      <c r="F89" t="s">
        <v>36</v>
      </c>
      <c r="G89" t="s">
        <v>122</v>
      </c>
      <c r="H89">
        <v>15</v>
      </c>
      <c r="I89">
        <v>1</v>
      </c>
      <c r="J89" t="s">
        <v>548</v>
      </c>
      <c r="K89">
        <v>27</v>
      </c>
      <c r="L89" t="s">
        <v>85</v>
      </c>
      <c r="M89">
        <v>30</v>
      </c>
      <c r="N89">
        <v>14</v>
      </c>
      <c r="O89">
        <v>12</v>
      </c>
      <c r="P89">
        <v>11</v>
      </c>
      <c r="Q89">
        <v>6</v>
      </c>
      <c r="R89">
        <v>10</v>
      </c>
      <c r="S89">
        <v>7</v>
      </c>
      <c r="T89">
        <v>2</v>
      </c>
      <c r="U89">
        <v>1</v>
      </c>
      <c r="V89">
        <v>0</v>
      </c>
      <c r="W89">
        <v>-2</v>
      </c>
      <c r="X89">
        <v>0</v>
      </c>
      <c r="Y89">
        <v>-2</v>
      </c>
      <c r="Z89" t="s">
        <v>36</v>
      </c>
      <c r="AA89" t="s">
        <v>36</v>
      </c>
      <c r="AB89" t="s">
        <v>36</v>
      </c>
      <c r="AC89" t="s">
        <v>36</v>
      </c>
      <c r="AD89" t="s">
        <v>36</v>
      </c>
      <c r="AE89" t="s">
        <v>51</v>
      </c>
      <c r="AF89" t="s">
        <v>547</v>
      </c>
      <c r="AG89" s="1" t="s">
        <v>549</v>
      </c>
    </row>
    <row r="90" spans="1:33" ht="15" customHeight="1" x14ac:dyDescent="0.25">
      <c r="A90" t="s">
        <v>550</v>
      </c>
      <c r="B90" t="s">
        <v>551</v>
      </c>
      <c r="C90">
        <v>0.125</v>
      </c>
      <c r="D90" t="s">
        <v>66</v>
      </c>
      <c r="E90" t="s">
        <v>207</v>
      </c>
      <c r="F90" t="s">
        <v>280</v>
      </c>
      <c r="G90" t="s">
        <v>330</v>
      </c>
      <c r="H90">
        <v>12</v>
      </c>
      <c r="I90">
        <v>2</v>
      </c>
      <c r="J90" t="s">
        <v>552</v>
      </c>
      <c r="K90">
        <v>7</v>
      </c>
      <c r="L90" t="s">
        <v>85</v>
      </c>
      <c r="M90">
        <v>30</v>
      </c>
      <c r="N90">
        <v>8</v>
      </c>
      <c r="O90">
        <v>15</v>
      </c>
      <c r="P90">
        <v>10</v>
      </c>
      <c r="Q90">
        <v>10</v>
      </c>
      <c r="R90">
        <v>8</v>
      </c>
      <c r="S90">
        <v>8</v>
      </c>
      <c r="T90">
        <v>-1</v>
      </c>
      <c r="U90">
        <v>2</v>
      </c>
      <c r="V90">
        <v>0</v>
      </c>
      <c r="W90">
        <v>0</v>
      </c>
      <c r="X90">
        <v>-1</v>
      </c>
      <c r="Y90">
        <v>-1</v>
      </c>
      <c r="Z90" t="s">
        <v>553</v>
      </c>
      <c r="AA90" t="s">
        <v>36</v>
      </c>
      <c r="AB90" t="s">
        <v>36</v>
      </c>
      <c r="AC90" t="s">
        <v>36</v>
      </c>
      <c r="AD90" t="s">
        <v>554</v>
      </c>
      <c r="AE90" t="s">
        <v>151</v>
      </c>
      <c r="AF90" t="s">
        <v>284</v>
      </c>
      <c r="AG90" s="1" t="s">
        <v>555</v>
      </c>
    </row>
    <row r="91" spans="1:33" ht="15" customHeight="1" x14ac:dyDescent="0.25">
      <c r="A91" t="s">
        <v>556</v>
      </c>
      <c r="B91" t="s">
        <v>551</v>
      </c>
      <c r="C91">
        <v>0.25</v>
      </c>
      <c r="D91" t="s">
        <v>66</v>
      </c>
      <c r="E91" t="s">
        <v>207</v>
      </c>
      <c r="F91" t="s">
        <v>280</v>
      </c>
      <c r="G91" t="s">
        <v>330</v>
      </c>
      <c r="H91">
        <v>15</v>
      </c>
      <c r="I91">
        <v>2</v>
      </c>
      <c r="J91" t="s">
        <v>95</v>
      </c>
      <c r="K91">
        <v>10</v>
      </c>
      <c r="L91" t="s">
        <v>85</v>
      </c>
      <c r="M91">
        <v>30</v>
      </c>
      <c r="N91">
        <v>8</v>
      </c>
      <c r="O91">
        <v>15</v>
      </c>
      <c r="P91">
        <v>10</v>
      </c>
      <c r="Q91">
        <v>10</v>
      </c>
      <c r="R91">
        <v>8</v>
      </c>
      <c r="S91">
        <v>8</v>
      </c>
      <c r="T91">
        <v>-1</v>
      </c>
      <c r="U91">
        <v>2</v>
      </c>
      <c r="V91">
        <v>0</v>
      </c>
      <c r="W91">
        <v>0</v>
      </c>
      <c r="X91">
        <v>-1</v>
      </c>
      <c r="Y91">
        <v>-1</v>
      </c>
      <c r="Z91" t="s">
        <v>553</v>
      </c>
      <c r="AA91" t="s">
        <v>36</v>
      </c>
      <c r="AB91" t="s">
        <v>36</v>
      </c>
      <c r="AC91" t="s">
        <v>36</v>
      </c>
      <c r="AD91" t="s">
        <v>557</v>
      </c>
      <c r="AE91" t="s">
        <v>151</v>
      </c>
      <c r="AF91" t="s">
        <v>284</v>
      </c>
      <c r="AG91" s="1" t="s">
        <v>558</v>
      </c>
    </row>
    <row r="92" spans="1:33" ht="15" customHeight="1" x14ac:dyDescent="0.25">
      <c r="A92" t="s">
        <v>559</v>
      </c>
      <c r="B92" t="s">
        <v>551</v>
      </c>
      <c r="C92">
        <v>1</v>
      </c>
      <c r="D92" t="s">
        <v>66</v>
      </c>
      <c r="E92" t="s">
        <v>207</v>
      </c>
      <c r="F92" t="s">
        <v>280</v>
      </c>
      <c r="G92" t="s">
        <v>330</v>
      </c>
      <c r="H92">
        <v>17</v>
      </c>
      <c r="I92">
        <v>2</v>
      </c>
      <c r="J92" t="s">
        <v>560</v>
      </c>
      <c r="K92">
        <v>21</v>
      </c>
      <c r="L92" t="s">
        <v>85</v>
      </c>
      <c r="M92">
        <v>30</v>
      </c>
      <c r="N92">
        <v>10</v>
      </c>
      <c r="O92">
        <v>15</v>
      </c>
      <c r="P92">
        <v>10</v>
      </c>
      <c r="Q92">
        <v>10</v>
      </c>
      <c r="R92">
        <v>8</v>
      </c>
      <c r="S92">
        <v>10</v>
      </c>
      <c r="T92">
        <v>0</v>
      </c>
      <c r="U92">
        <v>2</v>
      </c>
      <c r="V92">
        <v>0</v>
      </c>
      <c r="W92">
        <v>0</v>
      </c>
      <c r="X92">
        <v>-1</v>
      </c>
      <c r="Y92">
        <v>0</v>
      </c>
      <c r="Z92" t="s">
        <v>553</v>
      </c>
      <c r="AA92" t="s">
        <v>36</v>
      </c>
      <c r="AB92" t="s">
        <v>36</v>
      </c>
      <c r="AC92" t="s">
        <v>36</v>
      </c>
      <c r="AD92" t="s">
        <v>561</v>
      </c>
      <c r="AE92" t="s">
        <v>151</v>
      </c>
      <c r="AF92" t="s">
        <v>284</v>
      </c>
      <c r="AG92" s="1" t="s">
        <v>562</v>
      </c>
    </row>
    <row r="93" spans="1:33" ht="15" customHeight="1" x14ac:dyDescent="0.25">
      <c r="A93" t="s">
        <v>563</v>
      </c>
      <c r="B93" t="s">
        <v>564</v>
      </c>
      <c r="C93">
        <v>3</v>
      </c>
      <c r="D93" t="s">
        <v>56</v>
      </c>
      <c r="E93" t="s">
        <v>174</v>
      </c>
      <c r="F93" t="s">
        <v>247</v>
      </c>
      <c r="G93" t="s">
        <v>208</v>
      </c>
      <c r="H93">
        <v>17</v>
      </c>
      <c r="I93">
        <v>4</v>
      </c>
      <c r="J93" t="s">
        <v>374</v>
      </c>
      <c r="K93">
        <v>60</v>
      </c>
      <c r="L93" t="s">
        <v>176</v>
      </c>
      <c r="M93">
        <v>30</v>
      </c>
      <c r="N93">
        <v>19</v>
      </c>
      <c r="O93">
        <v>14</v>
      </c>
      <c r="P93">
        <v>17</v>
      </c>
      <c r="Q93">
        <v>14</v>
      </c>
      <c r="R93">
        <v>11</v>
      </c>
      <c r="S93">
        <v>16</v>
      </c>
      <c r="T93">
        <v>4</v>
      </c>
      <c r="U93">
        <v>4</v>
      </c>
      <c r="V93">
        <v>3</v>
      </c>
      <c r="W93">
        <v>2</v>
      </c>
      <c r="X93">
        <v>2</v>
      </c>
      <c r="Y93">
        <v>3</v>
      </c>
      <c r="Z93" t="s">
        <v>177</v>
      </c>
      <c r="AA93" t="s">
        <v>36</v>
      </c>
      <c r="AB93" t="s">
        <v>36</v>
      </c>
      <c r="AC93" t="s">
        <v>98</v>
      </c>
      <c r="AD93" t="s">
        <v>36</v>
      </c>
      <c r="AE93" t="s">
        <v>179</v>
      </c>
      <c r="AF93" t="s">
        <v>165</v>
      </c>
      <c r="AG93" s="1" t="s">
        <v>565</v>
      </c>
    </row>
    <row r="94" spans="1:33" ht="15" customHeight="1" x14ac:dyDescent="0.25">
      <c r="A94" t="s">
        <v>566</v>
      </c>
      <c r="B94" t="s">
        <v>564</v>
      </c>
      <c r="C94">
        <v>10</v>
      </c>
      <c r="D94" t="s">
        <v>34</v>
      </c>
      <c r="E94" t="s">
        <v>174</v>
      </c>
      <c r="F94" t="s">
        <v>247</v>
      </c>
      <c r="G94" t="s">
        <v>208</v>
      </c>
      <c r="H94">
        <v>18</v>
      </c>
      <c r="I94">
        <v>6</v>
      </c>
      <c r="J94" t="s">
        <v>567</v>
      </c>
      <c r="K94">
        <v>178</v>
      </c>
      <c r="L94" t="s">
        <v>183</v>
      </c>
      <c r="M94">
        <v>40</v>
      </c>
      <c r="N94">
        <v>23</v>
      </c>
      <c r="O94">
        <v>14</v>
      </c>
      <c r="P94">
        <v>21</v>
      </c>
      <c r="Q94">
        <v>16</v>
      </c>
      <c r="R94">
        <v>13</v>
      </c>
      <c r="S94">
        <v>20</v>
      </c>
      <c r="T94">
        <v>6</v>
      </c>
      <c r="U94">
        <v>6</v>
      </c>
      <c r="V94">
        <v>5</v>
      </c>
      <c r="W94">
        <v>3</v>
      </c>
      <c r="X94">
        <v>5</v>
      </c>
      <c r="Y94">
        <v>5</v>
      </c>
      <c r="Z94" t="s">
        <v>568</v>
      </c>
      <c r="AA94" t="s">
        <v>36</v>
      </c>
      <c r="AB94" t="s">
        <v>36</v>
      </c>
      <c r="AC94" t="s">
        <v>98</v>
      </c>
      <c r="AD94" t="s">
        <v>36</v>
      </c>
      <c r="AE94" t="s">
        <v>225</v>
      </c>
      <c r="AF94" t="s">
        <v>186</v>
      </c>
      <c r="AG94" s="1" t="s">
        <v>569</v>
      </c>
    </row>
    <row r="95" spans="1:33" ht="15" customHeight="1" x14ac:dyDescent="0.25">
      <c r="A95" t="s">
        <v>570</v>
      </c>
      <c r="B95" t="s">
        <v>564</v>
      </c>
      <c r="C95">
        <v>17</v>
      </c>
      <c r="D95" t="s">
        <v>103</v>
      </c>
      <c r="E95" t="s">
        <v>174</v>
      </c>
      <c r="F95" t="s">
        <v>247</v>
      </c>
      <c r="G95" t="s">
        <v>208</v>
      </c>
      <c r="H95">
        <v>19</v>
      </c>
      <c r="I95">
        <v>14</v>
      </c>
      <c r="J95" t="s">
        <v>571</v>
      </c>
      <c r="K95">
        <v>243</v>
      </c>
      <c r="L95" t="s">
        <v>183</v>
      </c>
      <c r="M95">
        <v>40</v>
      </c>
      <c r="N95">
        <v>27</v>
      </c>
      <c r="O95">
        <v>14</v>
      </c>
      <c r="P95">
        <v>25</v>
      </c>
      <c r="Q95">
        <v>16</v>
      </c>
      <c r="R95">
        <v>15</v>
      </c>
      <c r="S95">
        <v>24</v>
      </c>
      <c r="T95">
        <v>8</v>
      </c>
      <c r="U95">
        <v>8</v>
      </c>
      <c r="V95">
        <v>7</v>
      </c>
      <c r="W95">
        <v>3</v>
      </c>
      <c r="X95">
        <v>8</v>
      </c>
      <c r="Y95">
        <v>7</v>
      </c>
      <c r="Z95" t="s">
        <v>572</v>
      </c>
      <c r="AA95" t="s">
        <v>36</v>
      </c>
      <c r="AB95" t="s">
        <v>36</v>
      </c>
      <c r="AC95" t="s">
        <v>98</v>
      </c>
      <c r="AD95" t="s">
        <v>36</v>
      </c>
      <c r="AE95" t="s">
        <v>261</v>
      </c>
      <c r="AF95" t="s">
        <v>186</v>
      </c>
      <c r="AG95" s="1" t="s">
        <v>573</v>
      </c>
    </row>
    <row r="96" spans="1:33" ht="15" customHeight="1" x14ac:dyDescent="0.25">
      <c r="A96" t="s">
        <v>574</v>
      </c>
      <c r="B96" t="s">
        <v>564</v>
      </c>
      <c r="C96">
        <v>24</v>
      </c>
      <c r="D96" t="s">
        <v>194</v>
      </c>
      <c r="E96" t="s">
        <v>174</v>
      </c>
      <c r="F96" t="s">
        <v>247</v>
      </c>
      <c r="G96" t="s">
        <v>208</v>
      </c>
      <c r="H96">
        <v>22</v>
      </c>
      <c r="I96">
        <v>16</v>
      </c>
      <c r="J96" t="s">
        <v>575</v>
      </c>
      <c r="K96">
        <v>546</v>
      </c>
      <c r="L96" t="s">
        <v>183</v>
      </c>
      <c r="M96">
        <v>40</v>
      </c>
      <c r="N96">
        <v>30</v>
      </c>
      <c r="O96">
        <v>14</v>
      </c>
      <c r="P96">
        <v>29</v>
      </c>
      <c r="Q96">
        <v>18</v>
      </c>
      <c r="R96">
        <v>17</v>
      </c>
      <c r="S96">
        <v>28</v>
      </c>
      <c r="T96">
        <v>10</v>
      </c>
      <c r="U96">
        <v>9</v>
      </c>
      <c r="V96">
        <v>9</v>
      </c>
      <c r="W96">
        <v>4</v>
      </c>
      <c r="X96">
        <v>10</v>
      </c>
      <c r="Y96">
        <v>9</v>
      </c>
      <c r="Z96" t="s">
        <v>576</v>
      </c>
      <c r="AA96" t="s">
        <v>36</v>
      </c>
      <c r="AB96" t="s">
        <v>36</v>
      </c>
      <c r="AC96" t="s">
        <v>98</v>
      </c>
      <c r="AD96" t="s">
        <v>36</v>
      </c>
      <c r="AE96" t="s">
        <v>237</v>
      </c>
      <c r="AF96" t="s">
        <v>186</v>
      </c>
      <c r="AG96" s="1" t="s">
        <v>577</v>
      </c>
    </row>
    <row r="97" spans="1:33" ht="15" customHeight="1" x14ac:dyDescent="0.25">
      <c r="A97" t="s">
        <v>578</v>
      </c>
      <c r="B97" t="s">
        <v>578</v>
      </c>
      <c r="C97">
        <v>5</v>
      </c>
      <c r="D97" t="s">
        <v>34</v>
      </c>
      <c r="E97" t="s">
        <v>57</v>
      </c>
      <c r="F97" t="s">
        <v>36</v>
      </c>
      <c r="G97" t="s">
        <v>58</v>
      </c>
      <c r="H97">
        <v>19</v>
      </c>
      <c r="I97">
        <v>0</v>
      </c>
      <c r="J97" t="s">
        <v>310</v>
      </c>
      <c r="K97">
        <v>114</v>
      </c>
      <c r="L97" t="s">
        <v>210</v>
      </c>
      <c r="M97">
        <v>40</v>
      </c>
      <c r="N97">
        <v>20</v>
      </c>
      <c r="O97">
        <v>11</v>
      </c>
      <c r="P97">
        <v>18</v>
      </c>
      <c r="Q97">
        <v>2</v>
      </c>
      <c r="R97">
        <v>12</v>
      </c>
      <c r="S97">
        <v>7</v>
      </c>
      <c r="T97">
        <v>5</v>
      </c>
      <c r="U97">
        <v>0</v>
      </c>
      <c r="V97">
        <v>4</v>
      </c>
      <c r="W97">
        <v>-4</v>
      </c>
      <c r="X97">
        <v>1</v>
      </c>
      <c r="Y97">
        <v>-2</v>
      </c>
      <c r="Z97" t="s">
        <v>579</v>
      </c>
      <c r="AA97" t="s">
        <v>36</v>
      </c>
      <c r="AB97" t="s">
        <v>36</v>
      </c>
      <c r="AC97" t="s">
        <v>580</v>
      </c>
      <c r="AD97" t="s">
        <v>36</v>
      </c>
      <c r="AE97" t="s">
        <v>581</v>
      </c>
      <c r="AF97" t="s">
        <v>63</v>
      </c>
      <c r="AG97" s="1" t="s">
        <v>582</v>
      </c>
    </row>
    <row r="98" spans="1:33" ht="15" customHeight="1" x14ac:dyDescent="0.25">
      <c r="A98" t="s">
        <v>583</v>
      </c>
      <c r="B98" t="s">
        <v>583</v>
      </c>
      <c r="C98">
        <v>0.5</v>
      </c>
      <c r="D98" t="s">
        <v>56</v>
      </c>
      <c r="E98" t="s">
        <v>200</v>
      </c>
      <c r="F98" t="s">
        <v>36</v>
      </c>
      <c r="G98" t="s">
        <v>58</v>
      </c>
      <c r="H98">
        <v>9</v>
      </c>
      <c r="I98">
        <v>-2</v>
      </c>
      <c r="J98" t="s">
        <v>584</v>
      </c>
      <c r="K98">
        <v>22</v>
      </c>
      <c r="L98" t="s">
        <v>585</v>
      </c>
      <c r="M98">
        <v>10</v>
      </c>
      <c r="N98">
        <v>12</v>
      </c>
      <c r="O98">
        <v>6</v>
      </c>
      <c r="P98">
        <v>16</v>
      </c>
      <c r="Q98">
        <v>1</v>
      </c>
      <c r="R98">
        <v>6</v>
      </c>
      <c r="S98">
        <v>2</v>
      </c>
      <c r="T98">
        <v>1</v>
      </c>
      <c r="U98">
        <v>-2</v>
      </c>
      <c r="V98">
        <v>3</v>
      </c>
      <c r="W98">
        <v>-5</v>
      </c>
      <c r="X98">
        <v>-2</v>
      </c>
      <c r="Y98">
        <v>-4</v>
      </c>
      <c r="Z98" t="s">
        <v>586</v>
      </c>
      <c r="AA98" t="s">
        <v>587</v>
      </c>
      <c r="AB98" t="s">
        <v>36</v>
      </c>
      <c r="AC98" t="s">
        <v>588</v>
      </c>
      <c r="AD98" t="s">
        <v>36</v>
      </c>
      <c r="AE98" t="s">
        <v>204</v>
      </c>
      <c r="AF98" t="s">
        <v>63</v>
      </c>
      <c r="AG98" s="1" t="s">
        <v>589</v>
      </c>
    </row>
    <row r="99" spans="1:33" ht="15" customHeight="1" x14ac:dyDescent="0.25">
      <c r="A99" t="s">
        <v>590</v>
      </c>
      <c r="B99" t="s">
        <v>591</v>
      </c>
      <c r="C99">
        <v>2</v>
      </c>
      <c r="D99" t="s">
        <v>56</v>
      </c>
      <c r="E99" t="s">
        <v>174</v>
      </c>
      <c r="F99" t="s">
        <v>175</v>
      </c>
      <c r="G99" t="s">
        <v>37</v>
      </c>
      <c r="H99">
        <v>17</v>
      </c>
      <c r="I99">
        <v>3</v>
      </c>
      <c r="J99" t="s">
        <v>592</v>
      </c>
      <c r="K99">
        <v>38</v>
      </c>
      <c r="L99" t="s">
        <v>176</v>
      </c>
      <c r="M99">
        <v>30</v>
      </c>
      <c r="N99">
        <v>15</v>
      </c>
      <c r="O99">
        <v>12</v>
      </c>
      <c r="P99">
        <v>13</v>
      </c>
      <c r="Q99">
        <v>14</v>
      </c>
      <c r="R99">
        <v>11</v>
      </c>
      <c r="S99">
        <v>13</v>
      </c>
      <c r="T99">
        <v>2</v>
      </c>
      <c r="U99">
        <v>3</v>
      </c>
      <c r="V99">
        <v>1</v>
      </c>
      <c r="W99">
        <v>2</v>
      </c>
      <c r="X99">
        <v>2</v>
      </c>
      <c r="Y99">
        <v>1</v>
      </c>
      <c r="Z99" t="s">
        <v>358</v>
      </c>
      <c r="AA99" t="s">
        <v>36</v>
      </c>
      <c r="AB99" t="s">
        <v>36</v>
      </c>
      <c r="AC99" t="s">
        <v>320</v>
      </c>
      <c r="AD99" t="s">
        <v>36</v>
      </c>
      <c r="AE99" t="s">
        <v>179</v>
      </c>
      <c r="AF99" t="s">
        <v>165</v>
      </c>
      <c r="AG99" s="1" t="s">
        <v>593</v>
      </c>
    </row>
    <row r="100" spans="1:33" ht="15" customHeight="1" x14ac:dyDescent="0.25">
      <c r="A100" t="s">
        <v>594</v>
      </c>
      <c r="B100" t="s">
        <v>591</v>
      </c>
      <c r="C100">
        <v>8</v>
      </c>
      <c r="D100" t="s">
        <v>34</v>
      </c>
      <c r="E100" t="s">
        <v>174</v>
      </c>
      <c r="F100" t="s">
        <v>175</v>
      </c>
      <c r="G100" t="s">
        <v>37</v>
      </c>
      <c r="H100">
        <v>18</v>
      </c>
      <c r="I100">
        <v>4</v>
      </c>
      <c r="J100" t="s">
        <v>595</v>
      </c>
      <c r="K100">
        <v>136</v>
      </c>
      <c r="L100" t="s">
        <v>183</v>
      </c>
      <c r="M100">
        <v>40</v>
      </c>
      <c r="N100">
        <v>19</v>
      </c>
      <c r="O100">
        <v>12</v>
      </c>
      <c r="P100">
        <v>17</v>
      </c>
      <c r="Q100">
        <v>16</v>
      </c>
      <c r="R100">
        <v>13</v>
      </c>
      <c r="S100">
        <v>15</v>
      </c>
      <c r="T100">
        <v>4</v>
      </c>
      <c r="U100">
        <v>4</v>
      </c>
      <c r="V100">
        <v>3</v>
      </c>
      <c r="W100">
        <v>3</v>
      </c>
      <c r="X100">
        <v>4</v>
      </c>
      <c r="Y100">
        <v>2</v>
      </c>
      <c r="Z100" t="s">
        <v>363</v>
      </c>
      <c r="AA100" t="s">
        <v>36</v>
      </c>
      <c r="AB100" t="s">
        <v>36</v>
      </c>
      <c r="AC100" t="s">
        <v>320</v>
      </c>
      <c r="AD100" t="s">
        <v>36</v>
      </c>
      <c r="AE100" t="s">
        <v>269</v>
      </c>
      <c r="AF100" t="s">
        <v>186</v>
      </c>
      <c r="AG100" s="1" t="s">
        <v>596</v>
      </c>
    </row>
    <row r="101" spans="1:33" ht="15" customHeight="1" x14ac:dyDescent="0.25">
      <c r="A101" t="s">
        <v>597</v>
      </c>
      <c r="B101" t="s">
        <v>591</v>
      </c>
      <c r="C101">
        <v>15</v>
      </c>
      <c r="D101" t="s">
        <v>103</v>
      </c>
      <c r="E101" t="s">
        <v>174</v>
      </c>
      <c r="F101" t="s">
        <v>175</v>
      </c>
      <c r="G101" t="s">
        <v>37</v>
      </c>
      <c r="H101">
        <v>19</v>
      </c>
      <c r="I101">
        <v>11</v>
      </c>
      <c r="J101" t="s">
        <v>598</v>
      </c>
      <c r="K101">
        <v>207</v>
      </c>
      <c r="L101" t="s">
        <v>183</v>
      </c>
      <c r="M101">
        <v>40</v>
      </c>
      <c r="N101">
        <v>23</v>
      </c>
      <c r="O101">
        <v>12</v>
      </c>
      <c r="P101">
        <v>21</v>
      </c>
      <c r="Q101">
        <v>18</v>
      </c>
      <c r="R101">
        <v>15</v>
      </c>
      <c r="S101">
        <v>18</v>
      </c>
      <c r="T101">
        <v>6</v>
      </c>
      <c r="U101">
        <v>6</v>
      </c>
      <c r="V101">
        <v>5</v>
      </c>
      <c r="W101">
        <v>4</v>
      </c>
      <c r="X101">
        <v>7</v>
      </c>
      <c r="Y101">
        <v>4</v>
      </c>
      <c r="Z101" t="s">
        <v>599</v>
      </c>
      <c r="AA101" t="s">
        <v>36</v>
      </c>
      <c r="AB101" t="s">
        <v>36</v>
      </c>
      <c r="AC101" t="s">
        <v>320</v>
      </c>
      <c r="AD101" t="s">
        <v>36</v>
      </c>
      <c r="AE101" t="s">
        <v>231</v>
      </c>
      <c r="AF101" t="s">
        <v>186</v>
      </c>
      <c r="AG101" s="1" t="s">
        <v>600</v>
      </c>
    </row>
    <row r="102" spans="1:33" ht="15" customHeight="1" x14ac:dyDescent="0.25">
      <c r="A102" t="s">
        <v>601</v>
      </c>
      <c r="B102" t="s">
        <v>591</v>
      </c>
      <c r="C102">
        <v>22</v>
      </c>
      <c r="D102" t="s">
        <v>194</v>
      </c>
      <c r="E102" t="s">
        <v>174</v>
      </c>
      <c r="F102" t="s">
        <v>175</v>
      </c>
      <c r="G102" t="s">
        <v>37</v>
      </c>
      <c r="H102">
        <v>21</v>
      </c>
      <c r="I102">
        <v>15</v>
      </c>
      <c r="J102" t="s">
        <v>602</v>
      </c>
      <c r="K102">
        <v>402</v>
      </c>
      <c r="L102" t="s">
        <v>183</v>
      </c>
      <c r="M102">
        <v>40</v>
      </c>
      <c r="N102">
        <v>27</v>
      </c>
      <c r="O102">
        <v>12</v>
      </c>
      <c r="P102">
        <v>25</v>
      </c>
      <c r="Q102">
        <v>20</v>
      </c>
      <c r="R102">
        <v>17</v>
      </c>
      <c r="S102">
        <v>22</v>
      </c>
      <c r="T102">
        <v>8</v>
      </c>
      <c r="U102">
        <v>8</v>
      </c>
      <c r="V102">
        <v>7</v>
      </c>
      <c r="W102">
        <v>5</v>
      </c>
      <c r="X102">
        <v>10</v>
      </c>
      <c r="Y102">
        <v>6</v>
      </c>
      <c r="Z102" t="s">
        <v>603</v>
      </c>
      <c r="AA102" t="s">
        <v>36</v>
      </c>
      <c r="AB102" t="s">
        <v>36</v>
      </c>
      <c r="AC102" t="s">
        <v>320</v>
      </c>
      <c r="AD102" t="s">
        <v>36</v>
      </c>
      <c r="AE102" t="s">
        <v>237</v>
      </c>
      <c r="AF102" t="s">
        <v>186</v>
      </c>
      <c r="AG102" s="1" t="s">
        <v>604</v>
      </c>
    </row>
    <row r="103" spans="1:33" ht="15" customHeight="1" x14ac:dyDescent="0.25">
      <c r="A103" t="s">
        <v>605</v>
      </c>
      <c r="B103" t="s">
        <v>605</v>
      </c>
      <c r="C103">
        <v>3</v>
      </c>
      <c r="D103" t="s">
        <v>56</v>
      </c>
      <c r="E103" t="s">
        <v>207</v>
      </c>
      <c r="F103" t="s">
        <v>36</v>
      </c>
      <c r="G103" t="s">
        <v>159</v>
      </c>
      <c r="H103">
        <v>17</v>
      </c>
      <c r="I103">
        <v>1</v>
      </c>
      <c r="J103" t="s">
        <v>606</v>
      </c>
      <c r="K103">
        <v>82</v>
      </c>
      <c r="L103" t="s">
        <v>318</v>
      </c>
      <c r="M103">
        <v>30</v>
      </c>
      <c r="N103">
        <v>18</v>
      </c>
      <c r="O103">
        <v>12</v>
      </c>
      <c r="P103">
        <v>16</v>
      </c>
      <c r="Q103">
        <v>13</v>
      </c>
      <c r="R103">
        <v>14</v>
      </c>
      <c r="S103">
        <v>14</v>
      </c>
      <c r="T103">
        <v>4</v>
      </c>
      <c r="U103">
        <v>1</v>
      </c>
      <c r="V103">
        <v>3</v>
      </c>
      <c r="W103">
        <v>1</v>
      </c>
      <c r="X103">
        <v>2</v>
      </c>
      <c r="Y103">
        <v>2</v>
      </c>
      <c r="Z103" t="s">
        <v>607</v>
      </c>
      <c r="AA103" t="s">
        <v>36</v>
      </c>
      <c r="AB103" t="s">
        <v>36</v>
      </c>
      <c r="AC103" t="s">
        <v>36</v>
      </c>
      <c r="AD103" t="s">
        <v>36</v>
      </c>
      <c r="AE103" t="s">
        <v>321</v>
      </c>
      <c r="AF103" t="s">
        <v>608</v>
      </c>
      <c r="AG103" s="1" t="s">
        <v>609</v>
      </c>
    </row>
    <row r="104" spans="1:33" ht="15" customHeight="1" x14ac:dyDescent="0.25">
      <c r="A104" t="s">
        <v>610</v>
      </c>
      <c r="B104" t="s">
        <v>610</v>
      </c>
      <c r="C104">
        <v>2</v>
      </c>
      <c r="D104" t="s">
        <v>56</v>
      </c>
      <c r="E104" t="s">
        <v>35</v>
      </c>
      <c r="F104" t="s">
        <v>36</v>
      </c>
      <c r="G104" t="s">
        <v>58</v>
      </c>
      <c r="H104">
        <v>14</v>
      </c>
      <c r="I104">
        <v>2</v>
      </c>
      <c r="J104" t="s">
        <v>611</v>
      </c>
      <c r="K104">
        <v>54</v>
      </c>
      <c r="L104" t="s">
        <v>144</v>
      </c>
      <c r="M104">
        <v>30</v>
      </c>
      <c r="N104">
        <v>14</v>
      </c>
      <c r="O104">
        <v>14</v>
      </c>
      <c r="P104">
        <v>11</v>
      </c>
      <c r="Q104">
        <v>3</v>
      </c>
      <c r="R104">
        <v>14</v>
      </c>
      <c r="S104">
        <v>5</v>
      </c>
      <c r="T104">
        <v>2</v>
      </c>
      <c r="U104">
        <v>2</v>
      </c>
      <c r="V104">
        <v>0</v>
      </c>
      <c r="W104">
        <v>-4</v>
      </c>
      <c r="X104">
        <v>2</v>
      </c>
      <c r="Y104">
        <v>-3</v>
      </c>
      <c r="Z104" t="s">
        <v>509</v>
      </c>
      <c r="AA104" t="s">
        <v>36</v>
      </c>
      <c r="AB104" t="s">
        <v>36</v>
      </c>
      <c r="AC104" t="s">
        <v>36</v>
      </c>
      <c r="AD104" t="s">
        <v>36</v>
      </c>
      <c r="AE104" t="s">
        <v>612</v>
      </c>
      <c r="AF104" t="s">
        <v>63</v>
      </c>
      <c r="AG104" s="1" t="s">
        <v>613</v>
      </c>
    </row>
    <row r="105" spans="1:33" ht="15" customHeight="1" x14ac:dyDescent="0.25">
      <c r="A105" t="s">
        <v>614</v>
      </c>
      <c r="B105" t="s">
        <v>614</v>
      </c>
      <c r="C105">
        <v>2</v>
      </c>
      <c r="D105" t="s">
        <v>34</v>
      </c>
      <c r="E105" t="s">
        <v>76</v>
      </c>
      <c r="F105" t="s">
        <v>36</v>
      </c>
      <c r="G105" t="s">
        <v>58</v>
      </c>
      <c r="H105">
        <v>12</v>
      </c>
      <c r="I105">
        <v>2</v>
      </c>
      <c r="J105" t="s">
        <v>615</v>
      </c>
      <c r="K105">
        <v>59</v>
      </c>
      <c r="L105" t="s">
        <v>616</v>
      </c>
      <c r="M105">
        <v>30</v>
      </c>
      <c r="N105">
        <v>18</v>
      </c>
      <c r="O105">
        <v>15</v>
      </c>
      <c r="P105">
        <v>16</v>
      </c>
      <c r="Q105">
        <v>2</v>
      </c>
      <c r="R105">
        <v>13</v>
      </c>
      <c r="S105">
        <v>8</v>
      </c>
      <c r="T105">
        <v>4</v>
      </c>
      <c r="U105">
        <v>2</v>
      </c>
      <c r="V105">
        <v>3</v>
      </c>
      <c r="W105">
        <v>-4</v>
      </c>
      <c r="X105">
        <v>1</v>
      </c>
      <c r="Y105">
        <v>-1</v>
      </c>
      <c r="Z105" t="s">
        <v>617</v>
      </c>
      <c r="AA105" t="s">
        <v>36</v>
      </c>
      <c r="AB105" t="s">
        <v>36</v>
      </c>
      <c r="AC105" t="s">
        <v>36</v>
      </c>
      <c r="AD105" t="s">
        <v>36</v>
      </c>
      <c r="AE105" t="s">
        <v>212</v>
      </c>
      <c r="AF105" t="s">
        <v>63</v>
      </c>
      <c r="AG105" s="1" t="s">
        <v>618</v>
      </c>
    </row>
    <row r="106" spans="1:33" ht="15" customHeight="1" x14ac:dyDescent="0.25">
      <c r="A106" t="s">
        <v>619</v>
      </c>
      <c r="B106" t="s">
        <v>619</v>
      </c>
      <c r="C106">
        <v>0.25</v>
      </c>
      <c r="D106" t="s">
        <v>56</v>
      </c>
      <c r="E106" t="s">
        <v>35</v>
      </c>
      <c r="F106" t="s">
        <v>36</v>
      </c>
      <c r="G106" t="s">
        <v>159</v>
      </c>
      <c r="H106">
        <v>11</v>
      </c>
      <c r="I106">
        <v>1</v>
      </c>
      <c r="J106" t="s">
        <v>133</v>
      </c>
      <c r="K106">
        <v>11</v>
      </c>
      <c r="L106" t="s">
        <v>144</v>
      </c>
      <c r="M106">
        <v>30</v>
      </c>
      <c r="N106">
        <v>16</v>
      </c>
      <c r="O106">
        <v>12</v>
      </c>
      <c r="P106">
        <v>12</v>
      </c>
      <c r="Q106">
        <v>9</v>
      </c>
      <c r="R106">
        <v>8</v>
      </c>
      <c r="S106">
        <v>6</v>
      </c>
      <c r="T106">
        <v>3</v>
      </c>
      <c r="U106">
        <v>1</v>
      </c>
      <c r="V106">
        <v>1</v>
      </c>
      <c r="W106">
        <v>-1</v>
      </c>
      <c r="X106">
        <v>-1</v>
      </c>
      <c r="Y106">
        <v>-2</v>
      </c>
      <c r="Z106" t="s">
        <v>620</v>
      </c>
      <c r="AA106" t="s">
        <v>36</v>
      </c>
      <c r="AB106" t="s">
        <v>36</v>
      </c>
      <c r="AC106" t="s">
        <v>36</v>
      </c>
      <c r="AD106" t="s">
        <v>36</v>
      </c>
      <c r="AE106" t="s">
        <v>621</v>
      </c>
      <c r="AF106" t="s">
        <v>63</v>
      </c>
      <c r="AG106" s="1" t="s">
        <v>622</v>
      </c>
    </row>
    <row r="107" spans="1:33" ht="15" customHeight="1" x14ac:dyDescent="0.25">
      <c r="A107" t="s">
        <v>623</v>
      </c>
      <c r="B107" t="s">
        <v>623</v>
      </c>
      <c r="C107">
        <v>10</v>
      </c>
      <c r="D107" t="s">
        <v>34</v>
      </c>
      <c r="E107" t="s">
        <v>373</v>
      </c>
      <c r="F107" t="s">
        <v>36</v>
      </c>
      <c r="G107" t="s">
        <v>208</v>
      </c>
      <c r="H107">
        <v>18</v>
      </c>
      <c r="I107">
        <v>4</v>
      </c>
      <c r="J107" t="s">
        <v>595</v>
      </c>
      <c r="K107">
        <v>136</v>
      </c>
      <c r="L107" t="s">
        <v>624</v>
      </c>
      <c r="M107">
        <v>40</v>
      </c>
      <c r="N107">
        <v>19</v>
      </c>
      <c r="O107">
        <v>18</v>
      </c>
      <c r="P107">
        <v>16</v>
      </c>
      <c r="Q107">
        <v>16</v>
      </c>
      <c r="R107">
        <v>19</v>
      </c>
      <c r="S107">
        <v>18</v>
      </c>
      <c r="T107">
        <v>4</v>
      </c>
      <c r="U107">
        <v>8</v>
      </c>
      <c r="V107">
        <v>7</v>
      </c>
      <c r="W107">
        <v>7</v>
      </c>
      <c r="X107">
        <v>8</v>
      </c>
      <c r="Y107">
        <v>8</v>
      </c>
      <c r="Z107" t="s">
        <v>625</v>
      </c>
      <c r="AA107" t="s">
        <v>36</v>
      </c>
      <c r="AB107" t="s">
        <v>36</v>
      </c>
      <c r="AC107" t="s">
        <v>626</v>
      </c>
      <c r="AD107" t="s">
        <v>36</v>
      </c>
      <c r="AE107" t="s">
        <v>321</v>
      </c>
      <c r="AF107" t="s">
        <v>627</v>
      </c>
      <c r="AG107" s="1" t="s">
        <v>628</v>
      </c>
    </row>
    <row r="108" spans="1:33" ht="15" customHeight="1" x14ac:dyDescent="0.25">
      <c r="A108" t="s">
        <v>629</v>
      </c>
      <c r="B108" t="s">
        <v>630</v>
      </c>
      <c r="C108">
        <v>0.125</v>
      </c>
      <c r="D108" t="s">
        <v>82</v>
      </c>
      <c r="E108" t="s">
        <v>83</v>
      </c>
      <c r="F108" t="s">
        <v>36</v>
      </c>
      <c r="G108" t="s">
        <v>46</v>
      </c>
      <c r="H108">
        <v>16</v>
      </c>
      <c r="I108">
        <v>1</v>
      </c>
      <c r="J108" t="s">
        <v>133</v>
      </c>
      <c r="K108">
        <v>11</v>
      </c>
      <c r="L108" t="s">
        <v>85</v>
      </c>
      <c r="M108">
        <v>30</v>
      </c>
      <c r="N108">
        <v>13</v>
      </c>
      <c r="O108">
        <v>12</v>
      </c>
      <c r="P108">
        <v>12</v>
      </c>
      <c r="Q108">
        <v>10</v>
      </c>
      <c r="R108">
        <v>11</v>
      </c>
      <c r="S108">
        <v>10</v>
      </c>
      <c r="T108">
        <v>1</v>
      </c>
      <c r="U108">
        <v>1</v>
      </c>
      <c r="V108">
        <v>1</v>
      </c>
      <c r="W108">
        <v>0</v>
      </c>
      <c r="X108">
        <v>0</v>
      </c>
      <c r="Y108">
        <v>0</v>
      </c>
      <c r="Z108" t="s">
        <v>631</v>
      </c>
      <c r="AA108" t="s">
        <v>36</v>
      </c>
      <c r="AB108" t="s">
        <v>36</v>
      </c>
      <c r="AC108" t="s">
        <v>36</v>
      </c>
      <c r="AD108" t="s">
        <v>632</v>
      </c>
      <c r="AE108" t="s">
        <v>398</v>
      </c>
      <c r="AF108" t="s">
        <v>170</v>
      </c>
      <c r="AG108" s="1" t="s">
        <v>633</v>
      </c>
    </row>
    <row r="109" spans="1:33" ht="15" customHeight="1" x14ac:dyDescent="0.25">
      <c r="A109" t="s">
        <v>634</v>
      </c>
      <c r="B109" t="s">
        <v>630</v>
      </c>
      <c r="C109">
        <v>4</v>
      </c>
      <c r="D109" t="s">
        <v>82</v>
      </c>
      <c r="E109" t="s">
        <v>83</v>
      </c>
      <c r="F109" t="s">
        <v>36</v>
      </c>
      <c r="G109" t="s">
        <v>46</v>
      </c>
      <c r="H109">
        <v>18</v>
      </c>
      <c r="I109">
        <v>4</v>
      </c>
      <c r="J109" t="s">
        <v>635</v>
      </c>
      <c r="K109">
        <v>75</v>
      </c>
      <c r="L109" t="s">
        <v>85</v>
      </c>
      <c r="M109">
        <v>30</v>
      </c>
      <c r="N109">
        <v>18</v>
      </c>
      <c r="O109">
        <v>14</v>
      </c>
      <c r="P109">
        <v>16</v>
      </c>
      <c r="Q109">
        <v>12</v>
      </c>
      <c r="R109">
        <v>14</v>
      </c>
      <c r="S109">
        <v>13</v>
      </c>
      <c r="T109">
        <v>4</v>
      </c>
      <c r="U109">
        <v>2</v>
      </c>
      <c r="V109">
        <v>3</v>
      </c>
      <c r="W109">
        <v>1</v>
      </c>
      <c r="X109">
        <v>2</v>
      </c>
      <c r="Y109">
        <v>1</v>
      </c>
      <c r="Z109" t="s">
        <v>636</v>
      </c>
      <c r="AA109" t="s">
        <v>36</v>
      </c>
      <c r="AB109" t="s">
        <v>36</v>
      </c>
      <c r="AC109" t="s">
        <v>36</v>
      </c>
      <c r="AD109" t="s">
        <v>637</v>
      </c>
      <c r="AE109" t="s">
        <v>638</v>
      </c>
      <c r="AF109" t="s">
        <v>170</v>
      </c>
      <c r="AG109" s="1" t="s">
        <v>639</v>
      </c>
    </row>
    <row r="110" spans="1:33" ht="15" customHeight="1" x14ac:dyDescent="0.25">
      <c r="A110" t="s">
        <v>640</v>
      </c>
      <c r="B110" t="s">
        <v>640</v>
      </c>
      <c r="C110">
        <v>5</v>
      </c>
      <c r="D110" t="s">
        <v>56</v>
      </c>
      <c r="E110" t="s">
        <v>174</v>
      </c>
      <c r="F110" t="s">
        <v>36</v>
      </c>
      <c r="G110" t="s">
        <v>46</v>
      </c>
      <c r="H110">
        <v>18</v>
      </c>
      <c r="I110">
        <v>5</v>
      </c>
      <c r="J110" t="s">
        <v>641</v>
      </c>
      <c r="K110">
        <v>105</v>
      </c>
      <c r="L110" t="s">
        <v>210</v>
      </c>
      <c r="M110">
        <v>40</v>
      </c>
      <c r="N110">
        <v>19</v>
      </c>
      <c r="O110">
        <v>14</v>
      </c>
      <c r="P110">
        <v>16</v>
      </c>
      <c r="Q110">
        <v>10</v>
      </c>
      <c r="R110">
        <v>15</v>
      </c>
      <c r="S110">
        <v>14</v>
      </c>
      <c r="T110">
        <v>4</v>
      </c>
      <c r="U110">
        <v>5</v>
      </c>
      <c r="V110">
        <v>3</v>
      </c>
      <c r="W110">
        <v>0</v>
      </c>
      <c r="X110">
        <v>5</v>
      </c>
      <c r="Y110">
        <v>2</v>
      </c>
      <c r="Z110" t="s">
        <v>642</v>
      </c>
      <c r="AA110" t="s">
        <v>643</v>
      </c>
      <c r="AB110" t="s">
        <v>36</v>
      </c>
      <c r="AC110" t="s">
        <v>36</v>
      </c>
      <c r="AD110" t="s">
        <v>36</v>
      </c>
      <c r="AE110" t="s">
        <v>644</v>
      </c>
      <c r="AF110" t="s">
        <v>186</v>
      </c>
      <c r="AG110" s="1" t="s">
        <v>645</v>
      </c>
    </row>
    <row r="111" spans="1:33" ht="15" customHeight="1" x14ac:dyDescent="0.25">
      <c r="A111" t="s">
        <v>646</v>
      </c>
      <c r="B111" t="s">
        <v>646</v>
      </c>
      <c r="C111">
        <v>1</v>
      </c>
      <c r="D111" t="s">
        <v>56</v>
      </c>
      <c r="E111" t="s">
        <v>76</v>
      </c>
      <c r="F111" t="s">
        <v>36</v>
      </c>
      <c r="G111" t="s">
        <v>122</v>
      </c>
      <c r="H111">
        <v>11</v>
      </c>
      <c r="I111">
        <v>1</v>
      </c>
      <c r="J111" t="s">
        <v>592</v>
      </c>
      <c r="K111">
        <v>38</v>
      </c>
      <c r="L111" t="s">
        <v>348</v>
      </c>
      <c r="M111">
        <v>20</v>
      </c>
      <c r="N111">
        <v>12</v>
      </c>
      <c r="O111">
        <v>13</v>
      </c>
      <c r="P111">
        <v>12</v>
      </c>
      <c r="Q111">
        <v>7</v>
      </c>
      <c r="R111">
        <v>10</v>
      </c>
      <c r="S111">
        <v>13</v>
      </c>
      <c r="T111">
        <v>1</v>
      </c>
      <c r="U111">
        <v>1</v>
      </c>
      <c r="V111">
        <v>1</v>
      </c>
      <c r="W111">
        <v>-2</v>
      </c>
      <c r="X111">
        <v>0</v>
      </c>
      <c r="Y111">
        <v>1</v>
      </c>
      <c r="Z111" t="s">
        <v>36</v>
      </c>
      <c r="AA111" t="s">
        <v>36</v>
      </c>
      <c r="AB111" t="s">
        <v>36</v>
      </c>
      <c r="AC111" t="s">
        <v>36</v>
      </c>
      <c r="AD111" t="s">
        <v>36</v>
      </c>
      <c r="AE111" t="s">
        <v>99</v>
      </c>
      <c r="AF111" t="s">
        <v>170</v>
      </c>
      <c r="AG111" s="1" t="s">
        <v>647</v>
      </c>
    </row>
    <row r="112" spans="1:33" ht="15" customHeight="1" x14ac:dyDescent="0.25">
      <c r="A112" t="s">
        <v>648</v>
      </c>
      <c r="B112" t="s">
        <v>648</v>
      </c>
      <c r="C112">
        <v>3</v>
      </c>
      <c r="D112" t="s">
        <v>56</v>
      </c>
      <c r="E112" t="s">
        <v>120</v>
      </c>
      <c r="F112" t="s">
        <v>36</v>
      </c>
      <c r="G112" t="s">
        <v>37</v>
      </c>
      <c r="H112">
        <v>15</v>
      </c>
      <c r="I112">
        <v>1</v>
      </c>
      <c r="J112" t="s">
        <v>154</v>
      </c>
      <c r="K112">
        <v>58</v>
      </c>
      <c r="L112" t="s">
        <v>109</v>
      </c>
      <c r="M112">
        <v>50</v>
      </c>
      <c r="N112">
        <v>17</v>
      </c>
      <c r="O112">
        <v>12</v>
      </c>
      <c r="P112">
        <v>14</v>
      </c>
      <c r="Q112">
        <v>6</v>
      </c>
      <c r="R112">
        <v>13</v>
      </c>
      <c r="S112">
        <v>6</v>
      </c>
      <c r="T112">
        <v>3</v>
      </c>
      <c r="U112">
        <v>1</v>
      </c>
      <c r="V112">
        <v>2</v>
      </c>
      <c r="W112">
        <v>-2</v>
      </c>
      <c r="X112">
        <v>1</v>
      </c>
      <c r="Y112">
        <v>-2</v>
      </c>
      <c r="Z112" t="s">
        <v>617</v>
      </c>
      <c r="AA112" t="s">
        <v>36</v>
      </c>
      <c r="AB112" t="s">
        <v>36</v>
      </c>
      <c r="AC112" t="s">
        <v>98</v>
      </c>
      <c r="AD112" t="s">
        <v>36</v>
      </c>
      <c r="AE112" t="s">
        <v>212</v>
      </c>
      <c r="AF112" t="s">
        <v>649</v>
      </c>
      <c r="AG112" s="1" t="s">
        <v>650</v>
      </c>
    </row>
    <row r="113" spans="1:33" ht="15" customHeight="1" x14ac:dyDescent="0.25">
      <c r="A113" t="s">
        <v>651</v>
      </c>
      <c r="B113" t="s">
        <v>651</v>
      </c>
      <c r="C113">
        <v>8</v>
      </c>
      <c r="D113" t="s">
        <v>34</v>
      </c>
      <c r="E113" t="s">
        <v>120</v>
      </c>
      <c r="F113" t="s">
        <v>121</v>
      </c>
      <c r="G113" t="s">
        <v>122</v>
      </c>
      <c r="H113">
        <v>18</v>
      </c>
      <c r="I113">
        <v>6</v>
      </c>
      <c r="J113" t="s">
        <v>652</v>
      </c>
      <c r="K113">
        <v>157</v>
      </c>
      <c r="L113" t="s">
        <v>85</v>
      </c>
      <c r="M113">
        <v>30</v>
      </c>
      <c r="N113">
        <v>19</v>
      </c>
      <c r="O113">
        <v>17</v>
      </c>
      <c r="P113">
        <v>20</v>
      </c>
      <c r="Q113">
        <v>5</v>
      </c>
      <c r="R113">
        <v>12</v>
      </c>
      <c r="S113">
        <v>13</v>
      </c>
      <c r="T113">
        <v>7</v>
      </c>
      <c r="U113">
        <v>3</v>
      </c>
      <c r="V113">
        <v>8</v>
      </c>
      <c r="W113">
        <v>-3</v>
      </c>
      <c r="X113">
        <v>4</v>
      </c>
      <c r="Y113">
        <v>1</v>
      </c>
      <c r="Z113" t="s">
        <v>36</v>
      </c>
      <c r="AA113" t="s">
        <v>438</v>
      </c>
      <c r="AB113" t="s">
        <v>36</v>
      </c>
      <c r="AC113" t="s">
        <v>320</v>
      </c>
      <c r="AD113" t="s">
        <v>36</v>
      </c>
      <c r="AE113" t="s">
        <v>433</v>
      </c>
      <c r="AF113" t="s">
        <v>129</v>
      </c>
      <c r="AG113" s="1" t="s">
        <v>653</v>
      </c>
    </row>
    <row r="114" spans="1:33" ht="15" customHeight="1" x14ac:dyDescent="0.25">
      <c r="A114" t="s">
        <v>654</v>
      </c>
      <c r="B114" t="s">
        <v>654</v>
      </c>
      <c r="C114">
        <v>5</v>
      </c>
      <c r="D114" t="s">
        <v>103</v>
      </c>
      <c r="E114" t="s">
        <v>339</v>
      </c>
      <c r="F114" t="s">
        <v>36</v>
      </c>
      <c r="G114" t="s">
        <v>122</v>
      </c>
      <c r="H114">
        <v>13</v>
      </c>
      <c r="I114">
        <v>2</v>
      </c>
      <c r="J114" t="s">
        <v>655</v>
      </c>
      <c r="K114">
        <v>105</v>
      </c>
      <c r="L114" t="s">
        <v>210</v>
      </c>
      <c r="M114">
        <v>40</v>
      </c>
      <c r="N114">
        <v>21</v>
      </c>
      <c r="O114">
        <v>8</v>
      </c>
      <c r="P114">
        <v>19</v>
      </c>
      <c r="Q114">
        <v>5</v>
      </c>
      <c r="R114">
        <v>9</v>
      </c>
      <c r="S114">
        <v>6</v>
      </c>
      <c r="T114">
        <v>5</v>
      </c>
      <c r="U114">
        <v>-1</v>
      </c>
      <c r="V114">
        <v>4</v>
      </c>
      <c r="W114">
        <v>-3</v>
      </c>
      <c r="X114">
        <v>-1</v>
      </c>
      <c r="Y114">
        <v>-2</v>
      </c>
      <c r="Z114" t="s">
        <v>631</v>
      </c>
      <c r="AA114" t="s">
        <v>36</v>
      </c>
      <c r="AB114" t="s">
        <v>36</v>
      </c>
      <c r="AC114" t="s">
        <v>36</v>
      </c>
      <c r="AD114" t="s">
        <v>36</v>
      </c>
      <c r="AE114" t="s">
        <v>398</v>
      </c>
      <c r="AF114" t="s">
        <v>339</v>
      </c>
      <c r="AG114" s="1" t="s">
        <v>656</v>
      </c>
    </row>
    <row r="115" spans="1:33" ht="15" customHeight="1" x14ac:dyDescent="0.25">
      <c r="A115" t="s">
        <v>657</v>
      </c>
      <c r="B115" t="s">
        <v>657</v>
      </c>
      <c r="C115">
        <v>1</v>
      </c>
      <c r="D115" t="s">
        <v>34</v>
      </c>
      <c r="E115" t="s">
        <v>76</v>
      </c>
      <c r="F115" t="s">
        <v>36</v>
      </c>
      <c r="G115" t="s">
        <v>58</v>
      </c>
      <c r="H115">
        <v>11</v>
      </c>
      <c r="I115">
        <v>1</v>
      </c>
      <c r="J115" t="s">
        <v>658</v>
      </c>
      <c r="K115">
        <v>26</v>
      </c>
      <c r="L115" t="s">
        <v>659</v>
      </c>
      <c r="M115">
        <v>40</v>
      </c>
      <c r="N115">
        <v>17</v>
      </c>
      <c r="O115">
        <v>13</v>
      </c>
      <c r="P115">
        <v>13</v>
      </c>
      <c r="Q115">
        <v>2</v>
      </c>
      <c r="R115">
        <v>12</v>
      </c>
      <c r="S115">
        <v>8</v>
      </c>
      <c r="T115">
        <v>3</v>
      </c>
      <c r="U115">
        <v>1</v>
      </c>
      <c r="V115">
        <v>1</v>
      </c>
      <c r="W115">
        <v>-4</v>
      </c>
      <c r="X115">
        <v>1</v>
      </c>
      <c r="Y115">
        <v>-1</v>
      </c>
      <c r="Z115" t="s">
        <v>617</v>
      </c>
      <c r="AA115" t="s">
        <v>36</v>
      </c>
      <c r="AB115" t="s">
        <v>36</v>
      </c>
      <c r="AC115" t="s">
        <v>36</v>
      </c>
      <c r="AD115" t="s">
        <v>36</v>
      </c>
      <c r="AE115" t="s">
        <v>449</v>
      </c>
      <c r="AF115" t="s">
        <v>63</v>
      </c>
      <c r="AG115" s="1" t="s">
        <v>660</v>
      </c>
    </row>
    <row r="116" spans="1:33" ht="15" customHeight="1" x14ac:dyDescent="0.25">
      <c r="A116" t="s">
        <v>661</v>
      </c>
      <c r="B116" t="s">
        <v>662</v>
      </c>
      <c r="C116">
        <v>0.5</v>
      </c>
      <c r="D116" t="s">
        <v>56</v>
      </c>
      <c r="E116" t="s">
        <v>207</v>
      </c>
      <c r="F116" t="s">
        <v>280</v>
      </c>
      <c r="G116" t="s">
        <v>37</v>
      </c>
      <c r="H116">
        <v>18</v>
      </c>
      <c r="I116">
        <v>3</v>
      </c>
      <c r="J116" t="s">
        <v>133</v>
      </c>
      <c r="K116">
        <v>11</v>
      </c>
      <c r="L116" t="s">
        <v>85</v>
      </c>
      <c r="M116">
        <v>30</v>
      </c>
      <c r="N116">
        <v>13</v>
      </c>
      <c r="O116">
        <v>12</v>
      </c>
      <c r="P116">
        <v>12</v>
      </c>
      <c r="Q116">
        <v>10</v>
      </c>
      <c r="R116">
        <v>10</v>
      </c>
      <c r="S116">
        <v>9</v>
      </c>
      <c r="T116">
        <v>1</v>
      </c>
      <c r="U116">
        <v>1</v>
      </c>
      <c r="V116">
        <v>1</v>
      </c>
      <c r="W116">
        <v>0</v>
      </c>
      <c r="X116">
        <v>0</v>
      </c>
      <c r="Y116">
        <v>-1</v>
      </c>
      <c r="Z116" t="s">
        <v>36</v>
      </c>
      <c r="AA116" t="s">
        <v>36</v>
      </c>
      <c r="AB116" t="s">
        <v>36</v>
      </c>
      <c r="AC116" t="s">
        <v>36</v>
      </c>
      <c r="AD116" t="s">
        <v>663</v>
      </c>
      <c r="AE116" t="s">
        <v>51</v>
      </c>
      <c r="AF116" t="s">
        <v>284</v>
      </c>
      <c r="AG116" s="1" t="s">
        <v>664</v>
      </c>
    </row>
    <row r="117" spans="1:33" ht="15" customHeight="1" x14ac:dyDescent="0.25">
      <c r="A117" t="s">
        <v>665</v>
      </c>
      <c r="B117" t="s">
        <v>662</v>
      </c>
      <c r="C117">
        <v>3</v>
      </c>
      <c r="D117" t="s">
        <v>56</v>
      </c>
      <c r="E117" t="s">
        <v>207</v>
      </c>
      <c r="F117" t="s">
        <v>280</v>
      </c>
      <c r="G117" t="s">
        <v>37</v>
      </c>
      <c r="H117">
        <v>17</v>
      </c>
      <c r="I117">
        <v>4</v>
      </c>
      <c r="J117" t="s">
        <v>154</v>
      </c>
      <c r="K117">
        <v>58</v>
      </c>
      <c r="L117" t="s">
        <v>85</v>
      </c>
      <c r="M117">
        <v>30</v>
      </c>
      <c r="N117">
        <v>15</v>
      </c>
      <c r="O117">
        <v>14</v>
      </c>
      <c r="P117">
        <v>14</v>
      </c>
      <c r="Q117">
        <v>12</v>
      </c>
      <c r="R117">
        <v>10</v>
      </c>
      <c r="S117">
        <v>13</v>
      </c>
      <c r="T117">
        <v>2</v>
      </c>
      <c r="U117">
        <v>2</v>
      </c>
      <c r="V117">
        <v>2</v>
      </c>
      <c r="W117">
        <v>1</v>
      </c>
      <c r="X117">
        <v>0</v>
      </c>
      <c r="Y117">
        <v>1</v>
      </c>
      <c r="Z117" t="s">
        <v>36</v>
      </c>
      <c r="AA117" t="s">
        <v>36</v>
      </c>
      <c r="AB117" t="s">
        <v>36</v>
      </c>
      <c r="AC117" t="s">
        <v>36</v>
      </c>
      <c r="AD117" t="s">
        <v>666</v>
      </c>
      <c r="AE117" t="s">
        <v>51</v>
      </c>
      <c r="AF117" t="s">
        <v>284</v>
      </c>
      <c r="AG117" s="1" t="s">
        <v>667</v>
      </c>
    </row>
    <row r="118" spans="1:33" ht="15" customHeight="1" x14ac:dyDescent="0.25">
      <c r="A118" t="s">
        <v>668</v>
      </c>
      <c r="B118" t="s">
        <v>668</v>
      </c>
      <c r="C118">
        <v>0</v>
      </c>
      <c r="D118" t="s">
        <v>669</v>
      </c>
      <c r="E118" t="s">
        <v>57</v>
      </c>
      <c r="F118" t="s">
        <v>36</v>
      </c>
      <c r="G118" t="s">
        <v>46</v>
      </c>
      <c r="H118">
        <v>13</v>
      </c>
      <c r="I118">
        <v>2</v>
      </c>
      <c r="J118" t="s">
        <v>670</v>
      </c>
      <c r="K118">
        <v>4</v>
      </c>
      <c r="L118" t="s">
        <v>348</v>
      </c>
      <c r="M118">
        <v>20</v>
      </c>
      <c r="N118">
        <v>4</v>
      </c>
      <c r="O118">
        <v>15</v>
      </c>
      <c r="P118">
        <v>14</v>
      </c>
      <c r="Q118">
        <v>10</v>
      </c>
      <c r="R118">
        <v>10</v>
      </c>
      <c r="S118">
        <v>7</v>
      </c>
      <c r="T118">
        <v>-3</v>
      </c>
      <c r="U118">
        <v>2</v>
      </c>
      <c r="V118">
        <v>2</v>
      </c>
      <c r="W118">
        <v>0</v>
      </c>
      <c r="X118">
        <v>2</v>
      </c>
      <c r="Y118">
        <v>0</v>
      </c>
      <c r="Z118" t="s">
        <v>36</v>
      </c>
      <c r="AA118" t="s">
        <v>36</v>
      </c>
      <c r="AB118" t="s">
        <v>36</v>
      </c>
      <c r="AC118" t="s">
        <v>671</v>
      </c>
      <c r="AD118" t="s">
        <v>36</v>
      </c>
      <c r="AE118" t="s">
        <v>51</v>
      </c>
      <c r="AF118" t="s">
        <v>492</v>
      </c>
      <c r="AG118" s="1" t="s">
        <v>672</v>
      </c>
    </row>
    <row r="119" spans="1:33" ht="15" customHeight="1" x14ac:dyDescent="0.25">
      <c r="A119" t="s">
        <v>673</v>
      </c>
      <c r="B119" t="s">
        <v>673</v>
      </c>
      <c r="C119">
        <v>11</v>
      </c>
      <c r="D119" t="s">
        <v>34</v>
      </c>
      <c r="E119" t="s">
        <v>120</v>
      </c>
      <c r="F119" t="s">
        <v>142</v>
      </c>
      <c r="G119" t="s">
        <v>37</v>
      </c>
      <c r="H119">
        <v>18</v>
      </c>
      <c r="I119">
        <v>7</v>
      </c>
      <c r="J119" t="s">
        <v>674</v>
      </c>
      <c r="K119">
        <v>199</v>
      </c>
      <c r="L119" t="s">
        <v>311</v>
      </c>
      <c r="M119">
        <v>30</v>
      </c>
      <c r="N119">
        <v>22</v>
      </c>
      <c r="O119">
        <v>17</v>
      </c>
      <c r="P119">
        <v>21</v>
      </c>
      <c r="Q119">
        <v>12</v>
      </c>
      <c r="R119">
        <v>16</v>
      </c>
      <c r="S119">
        <v>18</v>
      </c>
      <c r="T119">
        <v>10</v>
      </c>
      <c r="U119">
        <v>7</v>
      </c>
      <c r="V119">
        <v>5</v>
      </c>
      <c r="W119">
        <v>1</v>
      </c>
      <c r="X119">
        <v>7</v>
      </c>
      <c r="Y119">
        <v>8</v>
      </c>
      <c r="Z119" t="s">
        <v>36</v>
      </c>
      <c r="AA119" t="s">
        <v>146</v>
      </c>
      <c r="AB119" t="s">
        <v>36</v>
      </c>
      <c r="AC119" t="s">
        <v>115</v>
      </c>
      <c r="AD119" t="s">
        <v>36</v>
      </c>
      <c r="AE119" t="s">
        <v>675</v>
      </c>
      <c r="AF119" t="s">
        <v>148</v>
      </c>
      <c r="AG119" s="1" t="s">
        <v>676</v>
      </c>
    </row>
    <row r="120" spans="1:33" ht="15" customHeight="1" x14ac:dyDescent="0.25">
      <c r="A120" t="s">
        <v>677</v>
      </c>
      <c r="B120" t="s">
        <v>677</v>
      </c>
      <c r="C120">
        <v>8</v>
      </c>
      <c r="D120" t="s">
        <v>103</v>
      </c>
      <c r="E120" t="s">
        <v>76</v>
      </c>
      <c r="F120" t="s">
        <v>36</v>
      </c>
      <c r="G120" t="s">
        <v>58</v>
      </c>
      <c r="H120">
        <v>15</v>
      </c>
      <c r="I120">
        <v>4</v>
      </c>
      <c r="J120" t="s">
        <v>366</v>
      </c>
      <c r="K120">
        <v>184</v>
      </c>
      <c r="L120" t="s">
        <v>678</v>
      </c>
      <c r="M120">
        <v>40</v>
      </c>
      <c r="N120">
        <v>20</v>
      </c>
      <c r="O120">
        <v>12</v>
      </c>
      <c r="P120">
        <v>20</v>
      </c>
      <c r="Q120">
        <v>2</v>
      </c>
      <c r="R120">
        <v>10</v>
      </c>
      <c r="S120">
        <v>7</v>
      </c>
      <c r="T120">
        <v>5</v>
      </c>
      <c r="U120">
        <v>1</v>
      </c>
      <c r="V120">
        <v>5</v>
      </c>
      <c r="W120">
        <v>-4</v>
      </c>
      <c r="X120">
        <v>0</v>
      </c>
      <c r="Y120">
        <v>-2</v>
      </c>
      <c r="Z120" t="s">
        <v>293</v>
      </c>
      <c r="AA120" t="s">
        <v>36</v>
      </c>
      <c r="AB120" t="s">
        <v>36</v>
      </c>
      <c r="AC120" t="s">
        <v>407</v>
      </c>
      <c r="AD120" t="s">
        <v>36</v>
      </c>
      <c r="AE120" t="s">
        <v>679</v>
      </c>
      <c r="AF120" t="s">
        <v>63</v>
      </c>
      <c r="AG120" s="1" t="s">
        <v>680</v>
      </c>
    </row>
    <row r="121" spans="1:33" ht="15" customHeight="1" x14ac:dyDescent="0.25">
      <c r="A121" t="s">
        <v>681</v>
      </c>
      <c r="B121" t="s">
        <v>681</v>
      </c>
      <c r="C121">
        <v>14</v>
      </c>
      <c r="D121" t="s">
        <v>34</v>
      </c>
      <c r="E121" t="s">
        <v>120</v>
      </c>
      <c r="F121" t="s">
        <v>142</v>
      </c>
      <c r="G121" t="s">
        <v>37</v>
      </c>
      <c r="H121">
        <v>18</v>
      </c>
      <c r="I121">
        <v>7</v>
      </c>
      <c r="J121" t="s">
        <v>682</v>
      </c>
      <c r="K121">
        <v>228</v>
      </c>
      <c r="L121" t="s">
        <v>210</v>
      </c>
      <c r="M121">
        <v>40</v>
      </c>
      <c r="N121">
        <v>21</v>
      </c>
      <c r="O121">
        <v>14</v>
      </c>
      <c r="P121">
        <v>18</v>
      </c>
      <c r="Q121">
        <v>18</v>
      </c>
      <c r="R121">
        <v>15</v>
      </c>
      <c r="S121">
        <v>18</v>
      </c>
      <c r="T121">
        <v>5</v>
      </c>
      <c r="U121">
        <v>7</v>
      </c>
      <c r="V121">
        <v>9</v>
      </c>
      <c r="W121">
        <v>4</v>
      </c>
      <c r="X121">
        <v>7</v>
      </c>
      <c r="Y121">
        <v>9</v>
      </c>
      <c r="Z121" t="s">
        <v>683</v>
      </c>
      <c r="AA121" t="s">
        <v>36</v>
      </c>
      <c r="AB121" t="s">
        <v>36</v>
      </c>
      <c r="AC121" t="s">
        <v>684</v>
      </c>
      <c r="AD121" t="s">
        <v>36</v>
      </c>
      <c r="AE121" t="s">
        <v>685</v>
      </c>
      <c r="AF121" t="s">
        <v>148</v>
      </c>
      <c r="AG121" s="1" t="s">
        <v>686</v>
      </c>
    </row>
    <row r="122" spans="1:33" ht="15" customHeight="1" x14ac:dyDescent="0.25">
      <c r="A122" t="s">
        <v>687</v>
      </c>
      <c r="B122" t="s">
        <v>687</v>
      </c>
      <c r="C122">
        <v>1</v>
      </c>
      <c r="D122" t="s">
        <v>669</v>
      </c>
      <c r="E122" t="s">
        <v>120</v>
      </c>
      <c r="F122" t="s">
        <v>142</v>
      </c>
      <c r="G122" t="s">
        <v>37</v>
      </c>
      <c r="H122">
        <v>13</v>
      </c>
      <c r="I122">
        <v>3</v>
      </c>
      <c r="J122" t="s">
        <v>688</v>
      </c>
      <c r="K122">
        <v>21</v>
      </c>
      <c r="L122" t="s">
        <v>348</v>
      </c>
      <c r="M122">
        <v>20</v>
      </c>
      <c r="N122">
        <v>6</v>
      </c>
      <c r="O122">
        <v>17</v>
      </c>
      <c r="P122">
        <v>13</v>
      </c>
      <c r="Q122">
        <v>11</v>
      </c>
      <c r="R122">
        <v>12</v>
      </c>
      <c r="S122">
        <v>14</v>
      </c>
      <c r="T122">
        <v>-2</v>
      </c>
      <c r="U122">
        <v>3</v>
      </c>
      <c r="V122">
        <v>1</v>
      </c>
      <c r="W122">
        <v>0</v>
      </c>
      <c r="X122">
        <v>1</v>
      </c>
      <c r="Y122">
        <v>2</v>
      </c>
      <c r="Z122" t="s">
        <v>689</v>
      </c>
      <c r="AA122" t="s">
        <v>146</v>
      </c>
      <c r="AB122" t="s">
        <v>36</v>
      </c>
      <c r="AC122" t="s">
        <v>115</v>
      </c>
      <c r="AD122" t="s">
        <v>36</v>
      </c>
      <c r="AE122" t="s">
        <v>307</v>
      </c>
      <c r="AF122" t="s">
        <v>690</v>
      </c>
      <c r="AG122" s="1" t="s">
        <v>691</v>
      </c>
    </row>
    <row r="123" spans="1:33" ht="15" customHeight="1" x14ac:dyDescent="0.25">
      <c r="A123" t="s">
        <v>692</v>
      </c>
      <c r="B123" t="s">
        <v>692</v>
      </c>
      <c r="C123">
        <v>4</v>
      </c>
      <c r="D123" t="s">
        <v>56</v>
      </c>
      <c r="E123" t="s">
        <v>120</v>
      </c>
      <c r="F123" t="s">
        <v>36</v>
      </c>
      <c r="G123" t="s">
        <v>159</v>
      </c>
      <c r="H123">
        <v>15</v>
      </c>
      <c r="I123">
        <v>3</v>
      </c>
      <c r="J123" t="s">
        <v>693</v>
      </c>
      <c r="K123">
        <v>66</v>
      </c>
      <c r="L123" t="s">
        <v>311</v>
      </c>
      <c r="M123">
        <v>30</v>
      </c>
      <c r="N123">
        <v>8</v>
      </c>
      <c r="O123">
        <v>17</v>
      </c>
      <c r="P123">
        <v>13</v>
      </c>
      <c r="Q123">
        <v>15</v>
      </c>
      <c r="R123">
        <v>12</v>
      </c>
      <c r="S123">
        <v>20</v>
      </c>
      <c r="T123">
        <v>-1</v>
      </c>
      <c r="U123">
        <v>3</v>
      </c>
      <c r="V123">
        <v>1</v>
      </c>
      <c r="W123">
        <v>2</v>
      </c>
      <c r="X123">
        <v>1</v>
      </c>
      <c r="Y123">
        <v>5</v>
      </c>
      <c r="Z123" t="s">
        <v>694</v>
      </c>
      <c r="AA123" t="s">
        <v>695</v>
      </c>
      <c r="AB123" t="s">
        <v>36</v>
      </c>
      <c r="AC123" t="s">
        <v>36</v>
      </c>
      <c r="AD123" t="s">
        <v>36</v>
      </c>
      <c r="AE123" t="s">
        <v>212</v>
      </c>
      <c r="AF123" t="s">
        <v>696</v>
      </c>
      <c r="AG123" s="1" t="s">
        <v>697</v>
      </c>
    </row>
    <row r="124" spans="1:33" ht="15" customHeight="1" x14ac:dyDescent="0.25">
      <c r="A124" t="s">
        <v>698</v>
      </c>
      <c r="B124" t="s">
        <v>698</v>
      </c>
      <c r="C124">
        <v>6</v>
      </c>
      <c r="D124" t="s">
        <v>34</v>
      </c>
      <c r="E124" t="s">
        <v>45</v>
      </c>
      <c r="F124" t="s">
        <v>36</v>
      </c>
      <c r="G124" t="s">
        <v>46</v>
      </c>
      <c r="H124">
        <v>14</v>
      </c>
      <c r="I124">
        <v>7</v>
      </c>
      <c r="J124" t="s">
        <v>699</v>
      </c>
      <c r="K124">
        <v>97</v>
      </c>
      <c r="L124" t="s">
        <v>700</v>
      </c>
      <c r="M124">
        <v>50</v>
      </c>
      <c r="N124">
        <v>16</v>
      </c>
      <c r="O124">
        <v>19</v>
      </c>
      <c r="P124">
        <v>14</v>
      </c>
      <c r="Q124">
        <v>10</v>
      </c>
      <c r="R124">
        <v>15</v>
      </c>
      <c r="S124">
        <v>11</v>
      </c>
      <c r="T124">
        <v>3</v>
      </c>
      <c r="U124">
        <v>4</v>
      </c>
      <c r="V124">
        <v>2</v>
      </c>
      <c r="W124">
        <v>0</v>
      </c>
      <c r="X124">
        <v>2</v>
      </c>
      <c r="Y124">
        <v>0</v>
      </c>
      <c r="Z124" t="s">
        <v>701</v>
      </c>
      <c r="AA124" t="s">
        <v>326</v>
      </c>
      <c r="AB124" t="s">
        <v>36</v>
      </c>
      <c r="AC124" t="s">
        <v>702</v>
      </c>
      <c r="AD124" t="s">
        <v>36</v>
      </c>
      <c r="AE124" t="s">
        <v>313</v>
      </c>
      <c r="AF124" t="s">
        <v>703</v>
      </c>
      <c r="AG124" s="1" t="s">
        <v>704</v>
      </c>
    </row>
    <row r="125" spans="1:33" ht="15" customHeight="1" x14ac:dyDescent="0.25">
      <c r="A125" t="s">
        <v>705</v>
      </c>
      <c r="B125" t="s">
        <v>705</v>
      </c>
      <c r="C125">
        <v>16</v>
      </c>
      <c r="D125" t="s">
        <v>34</v>
      </c>
      <c r="E125" t="s">
        <v>57</v>
      </c>
      <c r="F125" t="s">
        <v>36</v>
      </c>
      <c r="G125" t="s">
        <v>58</v>
      </c>
      <c r="H125">
        <v>20</v>
      </c>
      <c r="I125">
        <v>9</v>
      </c>
      <c r="J125" t="s">
        <v>706</v>
      </c>
      <c r="K125">
        <v>252</v>
      </c>
      <c r="L125" t="s">
        <v>85</v>
      </c>
      <c r="M125">
        <v>30</v>
      </c>
      <c r="N125">
        <v>24</v>
      </c>
      <c r="O125">
        <v>9</v>
      </c>
      <c r="P125">
        <v>20</v>
      </c>
      <c r="Q125">
        <v>3</v>
      </c>
      <c r="R125">
        <v>11</v>
      </c>
      <c r="S125">
        <v>1</v>
      </c>
      <c r="T125">
        <v>7</v>
      </c>
      <c r="U125">
        <v>-1</v>
      </c>
      <c r="V125">
        <v>5</v>
      </c>
      <c r="W125">
        <v>-4</v>
      </c>
      <c r="X125">
        <v>0</v>
      </c>
      <c r="Y125">
        <v>-5</v>
      </c>
      <c r="Z125" t="s">
        <v>36</v>
      </c>
      <c r="AA125" t="s">
        <v>36</v>
      </c>
      <c r="AB125" t="s">
        <v>36</v>
      </c>
      <c r="AC125" t="s">
        <v>707</v>
      </c>
      <c r="AD125" t="s">
        <v>36</v>
      </c>
      <c r="AE125" t="s">
        <v>708</v>
      </c>
      <c r="AF125" t="s">
        <v>709</v>
      </c>
      <c r="AG125" s="1" t="s">
        <v>710</v>
      </c>
    </row>
    <row r="126" spans="1:33" ht="15" customHeight="1" x14ac:dyDescent="0.25">
      <c r="A126" t="s">
        <v>711</v>
      </c>
      <c r="B126" t="s">
        <v>711</v>
      </c>
      <c r="C126">
        <v>3</v>
      </c>
      <c r="D126" t="s">
        <v>82</v>
      </c>
      <c r="E126" t="s">
        <v>83</v>
      </c>
      <c r="F126" t="s">
        <v>36</v>
      </c>
      <c r="G126" t="s">
        <v>46</v>
      </c>
      <c r="H126">
        <v>18</v>
      </c>
      <c r="I126">
        <v>0</v>
      </c>
      <c r="J126" t="s">
        <v>137</v>
      </c>
      <c r="K126">
        <v>52</v>
      </c>
      <c r="L126" t="s">
        <v>85</v>
      </c>
      <c r="M126">
        <v>30</v>
      </c>
      <c r="N126">
        <v>16</v>
      </c>
      <c r="O126">
        <v>11</v>
      </c>
      <c r="P126">
        <v>14</v>
      </c>
      <c r="Q126">
        <v>11</v>
      </c>
      <c r="R126">
        <v>11</v>
      </c>
      <c r="S126">
        <v>15</v>
      </c>
      <c r="T126">
        <v>3</v>
      </c>
      <c r="U126">
        <v>0</v>
      </c>
      <c r="V126">
        <v>4</v>
      </c>
      <c r="W126">
        <v>0</v>
      </c>
      <c r="X126">
        <v>2</v>
      </c>
      <c r="Y126">
        <v>2</v>
      </c>
      <c r="Z126" t="s">
        <v>36</v>
      </c>
      <c r="AA126" t="s">
        <v>36</v>
      </c>
      <c r="AB126" t="s">
        <v>36</v>
      </c>
      <c r="AC126" t="s">
        <v>334</v>
      </c>
      <c r="AD126" t="s">
        <v>712</v>
      </c>
      <c r="AE126" t="s">
        <v>99</v>
      </c>
      <c r="AF126" t="s">
        <v>100</v>
      </c>
      <c r="AG126" s="1" t="s">
        <v>713</v>
      </c>
    </row>
    <row r="127" spans="1:33" ht="15" customHeight="1" x14ac:dyDescent="0.25">
      <c r="A127" t="s">
        <v>714</v>
      </c>
      <c r="B127" t="s">
        <v>715</v>
      </c>
      <c r="C127">
        <v>0.125</v>
      </c>
      <c r="D127" t="s">
        <v>66</v>
      </c>
      <c r="E127" t="s">
        <v>174</v>
      </c>
      <c r="F127" t="s">
        <v>36</v>
      </c>
      <c r="G127" t="s">
        <v>46</v>
      </c>
      <c r="H127">
        <v>14</v>
      </c>
      <c r="I127">
        <v>2</v>
      </c>
      <c r="J127" t="s">
        <v>716</v>
      </c>
      <c r="K127">
        <v>7</v>
      </c>
      <c r="L127" t="s">
        <v>85</v>
      </c>
      <c r="M127">
        <v>30</v>
      </c>
      <c r="N127">
        <v>7</v>
      </c>
      <c r="O127">
        <v>15</v>
      </c>
      <c r="P127">
        <v>9</v>
      </c>
      <c r="Q127">
        <v>8</v>
      </c>
      <c r="R127">
        <v>7</v>
      </c>
      <c r="S127">
        <v>8</v>
      </c>
      <c r="T127">
        <v>-2</v>
      </c>
      <c r="U127">
        <v>2</v>
      </c>
      <c r="V127">
        <v>-1</v>
      </c>
      <c r="W127">
        <v>-1</v>
      </c>
      <c r="X127">
        <v>-2</v>
      </c>
      <c r="Y127">
        <v>-1</v>
      </c>
      <c r="Z127" t="s">
        <v>36</v>
      </c>
      <c r="AA127" t="s">
        <v>36</v>
      </c>
      <c r="AB127" t="s">
        <v>36</v>
      </c>
      <c r="AC127" t="s">
        <v>36</v>
      </c>
      <c r="AD127" t="s">
        <v>554</v>
      </c>
      <c r="AE127" t="s">
        <v>717</v>
      </c>
      <c r="AF127" t="s">
        <v>186</v>
      </c>
      <c r="AG127" s="1" t="s">
        <v>718</v>
      </c>
    </row>
    <row r="128" spans="1:33" ht="15" customHeight="1" x14ac:dyDescent="0.25">
      <c r="A128" t="s">
        <v>719</v>
      </c>
      <c r="B128" t="s">
        <v>719</v>
      </c>
      <c r="C128">
        <v>23</v>
      </c>
      <c r="D128" t="s">
        <v>194</v>
      </c>
      <c r="E128" t="s">
        <v>76</v>
      </c>
      <c r="F128" t="s">
        <v>720</v>
      </c>
      <c r="G128" t="s">
        <v>122</v>
      </c>
      <c r="H128">
        <v>18</v>
      </c>
      <c r="I128">
        <v>14</v>
      </c>
      <c r="J128" t="s">
        <v>234</v>
      </c>
      <c r="K128">
        <v>481</v>
      </c>
      <c r="L128" t="s">
        <v>721</v>
      </c>
      <c r="M128">
        <v>30</v>
      </c>
      <c r="N128">
        <v>30</v>
      </c>
      <c r="O128">
        <v>11</v>
      </c>
      <c r="P128">
        <v>26</v>
      </c>
      <c r="Q128">
        <v>22</v>
      </c>
      <c r="R128">
        <v>18</v>
      </c>
      <c r="S128">
        <v>20</v>
      </c>
      <c r="T128">
        <v>17</v>
      </c>
      <c r="U128">
        <v>7</v>
      </c>
      <c r="V128">
        <v>15</v>
      </c>
      <c r="W128">
        <v>6</v>
      </c>
      <c r="X128">
        <v>11</v>
      </c>
      <c r="Y128">
        <v>5</v>
      </c>
      <c r="Z128" t="s">
        <v>722</v>
      </c>
      <c r="AA128" t="s">
        <v>36</v>
      </c>
      <c r="AB128" t="s">
        <v>36</v>
      </c>
      <c r="AC128" t="s">
        <v>723</v>
      </c>
      <c r="AD128" t="s">
        <v>36</v>
      </c>
      <c r="AE128" t="s">
        <v>724</v>
      </c>
      <c r="AF128" t="s">
        <v>725</v>
      </c>
      <c r="AG128" s="1" t="s">
        <v>726</v>
      </c>
    </row>
    <row r="129" spans="1:33" ht="15" customHeight="1" x14ac:dyDescent="0.25">
      <c r="A129" t="s">
        <v>727</v>
      </c>
      <c r="B129" t="s">
        <v>727</v>
      </c>
      <c r="C129">
        <v>4</v>
      </c>
      <c r="D129" t="s">
        <v>34</v>
      </c>
      <c r="E129" t="s">
        <v>120</v>
      </c>
      <c r="F129" t="s">
        <v>36</v>
      </c>
      <c r="G129" t="s">
        <v>122</v>
      </c>
      <c r="H129">
        <v>13</v>
      </c>
      <c r="I129">
        <v>1</v>
      </c>
      <c r="J129" t="s">
        <v>699</v>
      </c>
      <c r="K129">
        <v>97</v>
      </c>
      <c r="L129" t="s">
        <v>210</v>
      </c>
      <c r="M129">
        <v>40</v>
      </c>
      <c r="N129">
        <v>16</v>
      </c>
      <c r="O129">
        <v>13</v>
      </c>
      <c r="P129">
        <v>15</v>
      </c>
      <c r="Q129">
        <v>14</v>
      </c>
      <c r="R129">
        <v>15</v>
      </c>
      <c r="S129">
        <v>16</v>
      </c>
      <c r="T129">
        <v>3</v>
      </c>
      <c r="U129">
        <v>1</v>
      </c>
      <c r="V129">
        <v>2</v>
      </c>
      <c r="W129">
        <v>2</v>
      </c>
      <c r="X129">
        <v>2</v>
      </c>
      <c r="Y129">
        <v>3</v>
      </c>
      <c r="Z129" t="s">
        <v>728</v>
      </c>
      <c r="AA129" t="s">
        <v>36</v>
      </c>
      <c r="AB129" t="s">
        <v>36</v>
      </c>
      <c r="AC129" t="s">
        <v>36</v>
      </c>
      <c r="AD129" t="s">
        <v>36</v>
      </c>
      <c r="AE129" t="s">
        <v>612</v>
      </c>
      <c r="AF129" t="s">
        <v>729</v>
      </c>
      <c r="AG129" s="1" t="s">
        <v>730</v>
      </c>
    </row>
    <row r="130" spans="1:33" ht="15" customHeight="1" x14ac:dyDescent="0.25">
      <c r="A130" t="s">
        <v>731</v>
      </c>
      <c r="B130" t="s">
        <v>731</v>
      </c>
      <c r="C130">
        <v>0</v>
      </c>
      <c r="D130" t="s">
        <v>56</v>
      </c>
      <c r="E130" t="s">
        <v>120</v>
      </c>
      <c r="F130" t="s">
        <v>142</v>
      </c>
      <c r="G130" t="s">
        <v>37</v>
      </c>
      <c r="H130">
        <v>9</v>
      </c>
      <c r="I130">
        <v>-3</v>
      </c>
      <c r="J130" t="s">
        <v>390</v>
      </c>
      <c r="K130">
        <v>9</v>
      </c>
      <c r="L130" t="s">
        <v>96</v>
      </c>
      <c r="M130">
        <v>20</v>
      </c>
      <c r="N130">
        <v>10</v>
      </c>
      <c r="O130">
        <v>5</v>
      </c>
      <c r="P130">
        <v>11</v>
      </c>
      <c r="Q130">
        <v>1</v>
      </c>
      <c r="R130">
        <v>11</v>
      </c>
      <c r="S130">
        <v>3</v>
      </c>
      <c r="T130">
        <v>0</v>
      </c>
      <c r="U130">
        <v>-3</v>
      </c>
      <c r="V130">
        <v>0</v>
      </c>
      <c r="W130">
        <v>-5</v>
      </c>
      <c r="X130">
        <v>0</v>
      </c>
      <c r="Y130">
        <v>-4</v>
      </c>
      <c r="Z130" t="s">
        <v>36</v>
      </c>
      <c r="AA130" t="s">
        <v>146</v>
      </c>
      <c r="AB130" t="s">
        <v>36</v>
      </c>
      <c r="AC130" t="s">
        <v>127</v>
      </c>
      <c r="AD130" t="s">
        <v>36</v>
      </c>
      <c r="AE130" t="s">
        <v>156</v>
      </c>
      <c r="AF130" t="s">
        <v>649</v>
      </c>
      <c r="AG130" s="1" t="s">
        <v>732</v>
      </c>
    </row>
    <row r="131" spans="1:33" ht="15" customHeight="1" x14ac:dyDescent="0.25">
      <c r="A131" t="s">
        <v>733</v>
      </c>
      <c r="B131" t="s">
        <v>733</v>
      </c>
      <c r="C131">
        <v>21</v>
      </c>
      <c r="D131" t="s">
        <v>56</v>
      </c>
      <c r="E131" t="s">
        <v>518</v>
      </c>
      <c r="F131" t="s">
        <v>734</v>
      </c>
      <c r="G131" t="s">
        <v>159</v>
      </c>
      <c r="H131">
        <v>20</v>
      </c>
      <c r="I131">
        <v>17</v>
      </c>
      <c r="J131" t="s">
        <v>735</v>
      </c>
      <c r="K131">
        <v>315</v>
      </c>
      <c r="L131" t="s">
        <v>85</v>
      </c>
      <c r="M131">
        <v>30</v>
      </c>
      <c r="N131">
        <v>11</v>
      </c>
      <c r="O131">
        <v>16</v>
      </c>
      <c r="P131">
        <v>16</v>
      </c>
      <c r="Q131">
        <v>21</v>
      </c>
      <c r="R131">
        <v>14</v>
      </c>
      <c r="S131">
        <v>16</v>
      </c>
      <c r="T131">
        <v>0</v>
      </c>
      <c r="U131">
        <v>10</v>
      </c>
      <c r="V131">
        <v>10</v>
      </c>
      <c r="W131">
        <v>12</v>
      </c>
      <c r="X131">
        <v>9</v>
      </c>
      <c r="Y131">
        <v>3</v>
      </c>
      <c r="Z131" t="s">
        <v>736</v>
      </c>
      <c r="AA131" t="s">
        <v>126</v>
      </c>
      <c r="AB131" t="s">
        <v>36</v>
      </c>
      <c r="AC131" t="s">
        <v>737</v>
      </c>
      <c r="AD131" t="s">
        <v>738</v>
      </c>
      <c r="AE131" t="s">
        <v>128</v>
      </c>
      <c r="AF131" t="s">
        <v>739</v>
      </c>
      <c r="AG131" s="1" t="s">
        <v>740</v>
      </c>
    </row>
    <row r="132" spans="1:33" ht="15" customHeight="1" x14ac:dyDescent="0.25">
      <c r="A132" t="s">
        <v>741</v>
      </c>
      <c r="B132" t="s">
        <v>742</v>
      </c>
      <c r="C132">
        <v>6</v>
      </c>
      <c r="D132" t="s">
        <v>82</v>
      </c>
      <c r="E132" t="s">
        <v>83</v>
      </c>
      <c r="F132" t="s">
        <v>734</v>
      </c>
      <c r="G132" t="s">
        <v>46</v>
      </c>
      <c r="H132">
        <v>15</v>
      </c>
      <c r="I132">
        <v>2</v>
      </c>
      <c r="J132" t="s">
        <v>743</v>
      </c>
      <c r="K132">
        <v>81</v>
      </c>
      <c r="L132" t="s">
        <v>85</v>
      </c>
      <c r="M132">
        <v>30</v>
      </c>
      <c r="N132">
        <v>9</v>
      </c>
      <c r="O132">
        <v>14</v>
      </c>
      <c r="P132">
        <v>11</v>
      </c>
      <c r="Q132">
        <v>17</v>
      </c>
      <c r="R132">
        <v>12</v>
      </c>
      <c r="S132">
        <v>11</v>
      </c>
      <c r="T132">
        <v>-1</v>
      </c>
      <c r="U132">
        <v>2</v>
      </c>
      <c r="V132">
        <v>0</v>
      </c>
      <c r="W132">
        <v>6</v>
      </c>
      <c r="X132">
        <v>4</v>
      </c>
      <c r="Y132">
        <v>0</v>
      </c>
      <c r="Z132" t="s">
        <v>744</v>
      </c>
      <c r="AA132" t="s">
        <v>36</v>
      </c>
      <c r="AB132" t="s">
        <v>36</v>
      </c>
      <c r="AC132" t="s">
        <v>36</v>
      </c>
      <c r="AD132" t="s">
        <v>745</v>
      </c>
      <c r="AE132" t="s">
        <v>638</v>
      </c>
      <c r="AF132" t="s">
        <v>428</v>
      </c>
      <c r="AG132" s="1" t="s">
        <v>746</v>
      </c>
    </row>
    <row r="133" spans="1:33" ht="15" customHeight="1" x14ac:dyDescent="0.25">
      <c r="A133" t="s">
        <v>747</v>
      </c>
      <c r="B133" t="s">
        <v>742</v>
      </c>
      <c r="C133">
        <v>12</v>
      </c>
      <c r="D133" t="s">
        <v>82</v>
      </c>
      <c r="E133" t="s">
        <v>83</v>
      </c>
      <c r="F133" t="s">
        <v>734</v>
      </c>
      <c r="G133" t="s">
        <v>46</v>
      </c>
      <c r="H133">
        <v>17</v>
      </c>
      <c r="I133">
        <v>7</v>
      </c>
      <c r="J133" t="s">
        <v>748</v>
      </c>
      <c r="K133">
        <v>170</v>
      </c>
      <c r="L133" t="s">
        <v>85</v>
      </c>
      <c r="M133">
        <v>30</v>
      </c>
      <c r="N133">
        <v>10</v>
      </c>
      <c r="O133">
        <v>14</v>
      </c>
      <c r="P133">
        <v>12</v>
      </c>
      <c r="Q133">
        <v>20</v>
      </c>
      <c r="R133">
        <v>15</v>
      </c>
      <c r="S133">
        <v>16</v>
      </c>
      <c r="T133">
        <v>0</v>
      </c>
      <c r="U133">
        <v>2</v>
      </c>
      <c r="V133">
        <v>1</v>
      </c>
      <c r="W133">
        <v>9</v>
      </c>
      <c r="X133">
        <v>6</v>
      </c>
      <c r="Y133">
        <v>3</v>
      </c>
      <c r="Z133" t="s">
        <v>749</v>
      </c>
      <c r="AA133" t="s">
        <v>36</v>
      </c>
      <c r="AB133" t="s">
        <v>36</v>
      </c>
      <c r="AC133" t="s">
        <v>750</v>
      </c>
      <c r="AD133" t="s">
        <v>745</v>
      </c>
      <c r="AE133" t="s">
        <v>89</v>
      </c>
      <c r="AF133" t="s">
        <v>751</v>
      </c>
      <c r="AG133" s="1" t="s">
        <v>752</v>
      </c>
    </row>
    <row r="134" spans="1:33" ht="15" customHeight="1" x14ac:dyDescent="0.25">
      <c r="A134" t="s">
        <v>753</v>
      </c>
      <c r="B134" t="s">
        <v>753</v>
      </c>
      <c r="C134">
        <v>0.5</v>
      </c>
      <c r="D134" t="s">
        <v>66</v>
      </c>
      <c r="E134" t="s">
        <v>45</v>
      </c>
      <c r="F134" t="s">
        <v>36</v>
      </c>
      <c r="G134" t="s">
        <v>330</v>
      </c>
      <c r="H134">
        <v>14</v>
      </c>
      <c r="I134">
        <v>2</v>
      </c>
      <c r="J134" t="s">
        <v>754</v>
      </c>
      <c r="K134">
        <v>13</v>
      </c>
      <c r="L134" t="s">
        <v>85</v>
      </c>
      <c r="M134">
        <v>30</v>
      </c>
      <c r="N134">
        <v>7</v>
      </c>
      <c r="O134">
        <v>15</v>
      </c>
      <c r="P134">
        <v>12</v>
      </c>
      <c r="Q134">
        <v>8</v>
      </c>
      <c r="R134">
        <v>11</v>
      </c>
      <c r="S134">
        <v>10</v>
      </c>
      <c r="T134">
        <v>-2</v>
      </c>
      <c r="U134">
        <v>2</v>
      </c>
      <c r="V134">
        <v>1</v>
      </c>
      <c r="W134">
        <v>-1</v>
      </c>
      <c r="X134">
        <v>0</v>
      </c>
      <c r="Y134">
        <v>0</v>
      </c>
      <c r="Z134" t="s">
        <v>36</v>
      </c>
      <c r="AA134" t="s">
        <v>36</v>
      </c>
      <c r="AB134" t="s">
        <v>36</v>
      </c>
      <c r="AC134" t="s">
        <v>98</v>
      </c>
      <c r="AD134" t="s">
        <v>36</v>
      </c>
      <c r="AE134" t="s">
        <v>51</v>
      </c>
      <c r="AF134" t="s">
        <v>117</v>
      </c>
      <c r="AG134" s="1" t="s">
        <v>755</v>
      </c>
    </row>
    <row r="135" spans="1:33" ht="15" customHeight="1" x14ac:dyDescent="0.25">
      <c r="A135" t="s">
        <v>756</v>
      </c>
      <c r="B135" t="s">
        <v>756</v>
      </c>
      <c r="C135">
        <v>3</v>
      </c>
      <c r="D135" t="s">
        <v>34</v>
      </c>
      <c r="E135" t="s">
        <v>76</v>
      </c>
      <c r="F135" t="s">
        <v>36</v>
      </c>
      <c r="G135" t="s">
        <v>37</v>
      </c>
      <c r="H135">
        <v>14</v>
      </c>
      <c r="I135">
        <v>3</v>
      </c>
      <c r="J135" t="s">
        <v>201</v>
      </c>
      <c r="K135">
        <v>68</v>
      </c>
      <c r="L135" t="s">
        <v>757</v>
      </c>
      <c r="M135">
        <v>30</v>
      </c>
      <c r="N135">
        <v>17</v>
      </c>
      <c r="O135">
        <v>16</v>
      </c>
      <c r="P135">
        <v>17</v>
      </c>
      <c r="Q135">
        <v>7</v>
      </c>
      <c r="R135">
        <v>12</v>
      </c>
      <c r="S135">
        <v>8</v>
      </c>
      <c r="T135">
        <v>3</v>
      </c>
      <c r="U135">
        <v>3</v>
      </c>
      <c r="V135">
        <v>3</v>
      </c>
      <c r="W135">
        <v>-2</v>
      </c>
      <c r="X135">
        <v>1</v>
      </c>
      <c r="Y135">
        <v>-1</v>
      </c>
      <c r="Z135" t="s">
        <v>36</v>
      </c>
      <c r="AA135" t="s">
        <v>36</v>
      </c>
      <c r="AB135" t="s">
        <v>36</v>
      </c>
      <c r="AC135" t="s">
        <v>36</v>
      </c>
      <c r="AD135" t="s">
        <v>36</v>
      </c>
      <c r="AE135" t="s">
        <v>283</v>
      </c>
      <c r="AF135" t="s">
        <v>170</v>
      </c>
      <c r="AG135" s="1" t="s">
        <v>758</v>
      </c>
    </row>
    <row r="136" spans="1:33" ht="15" customHeight="1" x14ac:dyDescent="0.25">
      <c r="A136" t="s">
        <v>759</v>
      </c>
      <c r="B136" t="s">
        <v>759</v>
      </c>
      <c r="C136">
        <v>16</v>
      </c>
      <c r="D136" t="s">
        <v>34</v>
      </c>
      <c r="E136" t="s">
        <v>120</v>
      </c>
      <c r="F136" t="s">
        <v>121</v>
      </c>
      <c r="G136" t="s">
        <v>122</v>
      </c>
      <c r="H136">
        <v>16</v>
      </c>
      <c r="I136">
        <v>10</v>
      </c>
      <c r="J136" t="s">
        <v>760</v>
      </c>
      <c r="K136">
        <v>220</v>
      </c>
      <c r="L136" t="s">
        <v>761</v>
      </c>
      <c r="M136">
        <v>40</v>
      </c>
      <c r="N136">
        <v>18</v>
      </c>
      <c r="O136">
        <v>20</v>
      </c>
      <c r="P136">
        <v>20</v>
      </c>
      <c r="Q136">
        <v>18</v>
      </c>
      <c r="R136">
        <v>16</v>
      </c>
      <c r="S136">
        <v>20</v>
      </c>
      <c r="T136">
        <v>9</v>
      </c>
      <c r="U136">
        <v>5</v>
      </c>
      <c r="V136">
        <v>10</v>
      </c>
      <c r="W136">
        <v>4</v>
      </c>
      <c r="X136">
        <v>8</v>
      </c>
      <c r="Y136">
        <v>10</v>
      </c>
      <c r="Z136" t="s">
        <v>312</v>
      </c>
      <c r="AA136" t="s">
        <v>438</v>
      </c>
      <c r="AB136" t="s">
        <v>36</v>
      </c>
      <c r="AC136" t="s">
        <v>320</v>
      </c>
      <c r="AD136" t="s">
        <v>36</v>
      </c>
      <c r="AE136" t="s">
        <v>762</v>
      </c>
      <c r="AF136" t="s">
        <v>129</v>
      </c>
      <c r="AG136" s="1" t="s">
        <v>763</v>
      </c>
    </row>
    <row r="137" spans="1:33" ht="15" customHeight="1" x14ac:dyDescent="0.25">
      <c r="A137" t="s">
        <v>764</v>
      </c>
      <c r="B137" t="s">
        <v>764</v>
      </c>
      <c r="C137">
        <v>6</v>
      </c>
      <c r="D137" t="s">
        <v>56</v>
      </c>
      <c r="E137" t="s">
        <v>76</v>
      </c>
      <c r="F137" t="s">
        <v>36</v>
      </c>
      <c r="G137" t="s">
        <v>37</v>
      </c>
      <c r="H137">
        <v>15</v>
      </c>
      <c r="I137">
        <v>6</v>
      </c>
      <c r="J137" t="s">
        <v>765</v>
      </c>
      <c r="K137">
        <v>127</v>
      </c>
      <c r="L137" t="s">
        <v>85</v>
      </c>
      <c r="M137">
        <v>30</v>
      </c>
      <c r="N137">
        <v>10</v>
      </c>
      <c r="O137">
        <v>17</v>
      </c>
      <c r="P137">
        <v>16</v>
      </c>
      <c r="Q137">
        <v>12</v>
      </c>
      <c r="R137">
        <v>13</v>
      </c>
      <c r="S137">
        <v>15</v>
      </c>
      <c r="T137">
        <v>0</v>
      </c>
      <c r="U137">
        <v>3</v>
      </c>
      <c r="V137">
        <v>3</v>
      </c>
      <c r="W137">
        <v>1</v>
      </c>
      <c r="X137">
        <v>4</v>
      </c>
      <c r="Y137">
        <v>2</v>
      </c>
      <c r="Z137" t="s">
        <v>766</v>
      </c>
      <c r="AA137" t="s">
        <v>36</v>
      </c>
      <c r="AB137" t="s">
        <v>36</v>
      </c>
      <c r="AC137" t="s">
        <v>36</v>
      </c>
      <c r="AD137" t="s">
        <v>36</v>
      </c>
      <c r="AE137" t="s">
        <v>767</v>
      </c>
      <c r="AF137" t="s">
        <v>100</v>
      </c>
      <c r="AG137" s="1" t="s">
        <v>768</v>
      </c>
    </row>
    <row r="138" spans="1:33" ht="15" customHeight="1" x14ac:dyDescent="0.25">
      <c r="A138" t="s">
        <v>769</v>
      </c>
      <c r="B138" t="s">
        <v>770</v>
      </c>
      <c r="C138">
        <v>0.5</v>
      </c>
      <c r="D138" t="s">
        <v>66</v>
      </c>
      <c r="E138" t="s">
        <v>45</v>
      </c>
      <c r="F138" t="s">
        <v>36</v>
      </c>
      <c r="G138" t="s">
        <v>159</v>
      </c>
      <c r="H138">
        <v>12</v>
      </c>
      <c r="I138">
        <v>2</v>
      </c>
      <c r="J138" t="s">
        <v>771</v>
      </c>
      <c r="K138">
        <v>17</v>
      </c>
      <c r="L138" t="s">
        <v>772</v>
      </c>
      <c r="M138">
        <v>30</v>
      </c>
      <c r="N138">
        <v>5</v>
      </c>
      <c r="O138">
        <v>14</v>
      </c>
      <c r="P138">
        <v>10</v>
      </c>
      <c r="Q138">
        <v>9</v>
      </c>
      <c r="R138">
        <v>11</v>
      </c>
      <c r="S138">
        <v>10</v>
      </c>
      <c r="T138">
        <v>-3</v>
      </c>
      <c r="U138">
        <v>2</v>
      </c>
      <c r="V138">
        <v>0</v>
      </c>
      <c r="W138">
        <v>-1</v>
      </c>
      <c r="X138">
        <v>0</v>
      </c>
      <c r="Y138">
        <v>0</v>
      </c>
      <c r="Z138" t="s">
        <v>773</v>
      </c>
      <c r="AA138" t="s">
        <v>36</v>
      </c>
      <c r="AB138" t="s">
        <v>98</v>
      </c>
      <c r="AC138" t="s">
        <v>774</v>
      </c>
      <c r="AD138" t="s">
        <v>36</v>
      </c>
      <c r="AE138" t="s">
        <v>612</v>
      </c>
      <c r="AF138" t="s">
        <v>775</v>
      </c>
      <c r="AG138" s="1" t="s">
        <v>776</v>
      </c>
    </row>
    <row r="139" spans="1:33" ht="15" customHeight="1" x14ac:dyDescent="0.25">
      <c r="A139" t="s">
        <v>777</v>
      </c>
      <c r="B139" t="s">
        <v>770</v>
      </c>
      <c r="C139">
        <v>0.5</v>
      </c>
      <c r="D139" t="s">
        <v>66</v>
      </c>
      <c r="E139" t="s">
        <v>45</v>
      </c>
      <c r="F139" t="s">
        <v>36</v>
      </c>
      <c r="G139" t="s">
        <v>159</v>
      </c>
      <c r="H139">
        <v>11</v>
      </c>
      <c r="I139">
        <v>1</v>
      </c>
      <c r="J139" t="s">
        <v>560</v>
      </c>
      <c r="K139">
        <v>21</v>
      </c>
      <c r="L139" t="s">
        <v>772</v>
      </c>
      <c r="M139">
        <v>30</v>
      </c>
      <c r="N139">
        <v>7</v>
      </c>
      <c r="O139">
        <v>13</v>
      </c>
      <c r="P139">
        <v>10</v>
      </c>
      <c r="Q139">
        <v>9</v>
      </c>
      <c r="R139">
        <v>11</v>
      </c>
      <c r="S139">
        <v>12</v>
      </c>
      <c r="T139">
        <v>-2</v>
      </c>
      <c r="U139">
        <v>1</v>
      </c>
      <c r="V139">
        <v>0</v>
      </c>
      <c r="W139">
        <v>-1</v>
      </c>
      <c r="X139">
        <v>0</v>
      </c>
      <c r="Y139">
        <v>1</v>
      </c>
      <c r="Z139" t="s">
        <v>778</v>
      </c>
      <c r="AA139" t="s">
        <v>36</v>
      </c>
      <c r="AB139" t="s">
        <v>98</v>
      </c>
      <c r="AC139" t="s">
        <v>779</v>
      </c>
      <c r="AD139" t="s">
        <v>36</v>
      </c>
      <c r="AE139" t="s">
        <v>612</v>
      </c>
      <c r="AF139" t="s">
        <v>780</v>
      </c>
      <c r="AG139" s="1" t="s">
        <v>781</v>
      </c>
    </row>
    <row r="140" spans="1:33" ht="15" customHeight="1" x14ac:dyDescent="0.25">
      <c r="A140" t="s">
        <v>782</v>
      </c>
      <c r="B140" t="s">
        <v>770</v>
      </c>
      <c r="C140">
        <v>0.5</v>
      </c>
      <c r="D140" t="s">
        <v>66</v>
      </c>
      <c r="E140" t="s">
        <v>45</v>
      </c>
      <c r="F140" t="s">
        <v>36</v>
      </c>
      <c r="G140" t="s">
        <v>159</v>
      </c>
      <c r="H140">
        <v>11</v>
      </c>
      <c r="I140">
        <v>1</v>
      </c>
      <c r="J140" t="s">
        <v>437</v>
      </c>
      <c r="K140">
        <v>18</v>
      </c>
      <c r="L140" t="s">
        <v>772</v>
      </c>
      <c r="M140">
        <v>30</v>
      </c>
      <c r="N140">
        <v>8</v>
      </c>
      <c r="O140">
        <v>12</v>
      </c>
      <c r="P140">
        <v>12</v>
      </c>
      <c r="Q140">
        <v>7</v>
      </c>
      <c r="R140">
        <v>10</v>
      </c>
      <c r="S140">
        <v>10</v>
      </c>
      <c r="T140">
        <v>-1</v>
      </c>
      <c r="U140">
        <v>1</v>
      </c>
      <c r="V140">
        <v>1</v>
      </c>
      <c r="W140">
        <v>-2</v>
      </c>
      <c r="X140">
        <v>0</v>
      </c>
      <c r="Y140">
        <v>0</v>
      </c>
      <c r="Z140" t="s">
        <v>402</v>
      </c>
      <c r="AA140" t="s">
        <v>36</v>
      </c>
      <c r="AB140" t="s">
        <v>146</v>
      </c>
      <c r="AC140" t="s">
        <v>783</v>
      </c>
      <c r="AD140" t="s">
        <v>36</v>
      </c>
      <c r="AE140" t="s">
        <v>51</v>
      </c>
      <c r="AF140" t="s">
        <v>784</v>
      </c>
      <c r="AG140" s="1" t="s">
        <v>785</v>
      </c>
    </row>
    <row r="141" spans="1:33" ht="15" customHeight="1" x14ac:dyDescent="0.25">
      <c r="A141" t="s">
        <v>786</v>
      </c>
      <c r="B141" t="s">
        <v>770</v>
      </c>
      <c r="C141">
        <v>0.25</v>
      </c>
      <c r="D141" t="s">
        <v>66</v>
      </c>
      <c r="E141" t="s">
        <v>45</v>
      </c>
      <c r="F141" t="s">
        <v>36</v>
      </c>
      <c r="G141" t="s">
        <v>159</v>
      </c>
      <c r="H141">
        <v>10</v>
      </c>
      <c r="I141">
        <v>0</v>
      </c>
      <c r="J141" t="s">
        <v>771</v>
      </c>
      <c r="K141">
        <v>17</v>
      </c>
      <c r="L141" t="s">
        <v>772</v>
      </c>
      <c r="M141">
        <v>30</v>
      </c>
      <c r="N141">
        <v>5</v>
      </c>
      <c r="O141">
        <v>11</v>
      </c>
      <c r="P141">
        <v>10</v>
      </c>
      <c r="Q141">
        <v>11</v>
      </c>
      <c r="R141">
        <v>10</v>
      </c>
      <c r="S141">
        <v>12</v>
      </c>
      <c r="T141">
        <v>-3</v>
      </c>
      <c r="U141">
        <v>0</v>
      </c>
      <c r="V141">
        <v>0</v>
      </c>
      <c r="W141">
        <v>0</v>
      </c>
      <c r="X141">
        <v>0</v>
      </c>
      <c r="Y141">
        <v>1</v>
      </c>
      <c r="Z141" t="s">
        <v>586</v>
      </c>
      <c r="AA141" t="s">
        <v>36</v>
      </c>
      <c r="AB141" t="s">
        <v>36</v>
      </c>
      <c r="AC141" t="s">
        <v>783</v>
      </c>
      <c r="AD141" t="s">
        <v>36</v>
      </c>
      <c r="AE141" t="s">
        <v>51</v>
      </c>
      <c r="AF141" t="s">
        <v>787</v>
      </c>
      <c r="AG141" s="1" t="s">
        <v>788</v>
      </c>
    </row>
    <row r="142" spans="1:33" ht="15" customHeight="1" x14ac:dyDescent="0.25">
      <c r="A142" t="s">
        <v>789</v>
      </c>
      <c r="B142" t="s">
        <v>790</v>
      </c>
      <c r="C142">
        <v>0.125</v>
      </c>
      <c r="D142" t="s">
        <v>56</v>
      </c>
      <c r="E142" t="s">
        <v>45</v>
      </c>
      <c r="F142" t="s">
        <v>36</v>
      </c>
      <c r="G142" t="s">
        <v>46</v>
      </c>
      <c r="H142">
        <v>11</v>
      </c>
      <c r="I142">
        <v>1</v>
      </c>
      <c r="J142" t="s">
        <v>133</v>
      </c>
      <c r="K142">
        <v>11</v>
      </c>
      <c r="L142" t="s">
        <v>39</v>
      </c>
      <c r="M142">
        <v>10</v>
      </c>
      <c r="N142">
        <v>10</v>
      </c>
      <c r="O142">
        <v>13</v>
      </c>
      <c r="P142">
        <v>12</v>
      </c>
      <c r="Q142">
        <v>11</v>
      </c>
      <c r="R142">
        <v>14</v>
      </c>
      <c r="S142">
        <v>12</v>
      </c>
      <c r="T142">
        <v>0</v>
      </c>
      <c r="U142">
        <v>1</v>
      </c>
      <c r="V142">
        <v>1</v>
      </c>
      <c r="W142">
        <v>0</v>
      </c>
      <c r="X142">
        <v>2</v>
      </c>
      <c r="Y142">
        <v>1</v>
      </c>
      <c r="Z142" t="s">
        <v>36</v>
      </c>
      <c r="AA142" t="s">
        <v>36</v>
      </c>
      <c r="AB142" t="s">
        <v>36</v>
      </c>
      <c r="AC142" t="s">
        <v>36</v>
      </c>
      <c r="AD142" t="s">
        <v>36</v>
      </c>
      <c r="AE142" t="s">
        <v>398</v>
      </c>
      <c r="AF142" t="s">
        <v>791</v>
      </c>
      <c r="AG142" s="1" t="s">
        <v>792</v>
      </c>
    </row>
    <row r="143" spans="1:33" ht="15" customHeight="1" x14ac:dyDescent="0.25">
      <c r="A143" t="s">
        <v>793</v>
      </c>
      <c r="B143" t="s">
        <v>793</v>
      </c>
      <c r="C143">
        <v>2</v>
      </c>
      <c r="D143" t="s">
        <v>34</v>
      </c>
      <c r="E143" t="s">
        <v>76</v>
      </c>
      <c r="F143" t="s">
        <v>36</v>
      </c>
      <c r="G143" t="s">
        <v>122</v>
      </c>
      <c r="H143">
        <v>13</v>
      </c>
      <c r="I143">
        <v>2</v>
      </c>
      <c r="J143" t="s">
        <v>77</v>
      </c>
      <c r="K143">
        <v>45</v>
      </c>
      <c r="L143" t="s">
        <v>39</v>
      </c>
      <c r="M143">
        <v>10</v>
      </c>
      <c r="N143">
        <v>18</v>
      </c>
      <c r="O143">
        <v>15</v>
      </c>
      <c r="P143">
        <v>15</v>
      </c>
      <c r="Q143">
        <v>8</v>
      </c>
      <c r="R143">
        <v>10</v>
      </c>
      <c r="S143">
        <v>9</v>
      </c>
      <c r="T143">
        <v>4</v>
      </c>
      <c r="U143">
        <v>2</v>
      </c>
      <c r="V143">
        <v>2</v>
      </c>
      <c r="W143">
        <v>-1</v>
      </c>
      <c r="X143">
        <v>0</v>
      </c>
      <c r="Y143">
        <v>-1</v>
      </c>
      <c r="Z143" t="s">
        <v>36</v>
      </c>
      <c r="AA143" t="s">
        <v>36</v>
      </c>
      <c r="AB143" t="s">
        <v>36</v>
      </c>
      <c r="AC143" t="s">
        <v>36</v>
      </c>
      <c r="AD143" t="s">
        <v>36</v>
      </c>
      <c r="AE143" t="s">
        <v>51</v>
      </c>
      <c r="AF143" t="s">
        <v>794</v>
      </c>
      <c r="AG143" s="1" t="s">
        <v>795</v>
      </c>
    </row>
    <row r="144" spans="1:33" ht="15" customHeight="1" x14ac:dyDescent="0.25">
      <c r="A144" t="s">
        <v>796</v>
      </c>
      <c r="B144" t="s">
        <v>796</v>
      </c>
      <c r="C144">
        <v>2</v>
      </c>
      <c r="D144" t="s">
        <v>56</v>
      </c>
      <c r="E144" t="s">
        <v>76</v>
      </c>
      <c r="F144" t="s">
        <v>36</v>
      </c>
      <c r="G144" t="s">
        <v>46</v>
      </c>
      <c r="H144">
        <v>12</v>
      </c>
      <c r="I144">
        <v>3</v>
      </c>
      <c r="J144" t="s">
        <v>154</v>
      </c>
      <c r="K144">
        <v>58</v>
      </c>
      <c r="L144" t="s">
        <v>96</v>
      </c>
      <c r="M144">
        <v>20</v>
      </c>
      <c r="N144">
        <v>17</v>
      </c>
      <c r="O144">
        <v>12</v>
      </c>
      <c r="P144">
        <v>15</v>
      </c>
      <c r="Q144">
        <v>5</v>
      </c>
      <c r="R144">
        <v>13</v>
      </c>
      <c r="S144">
        <v>8</v>
      </c>
      <c r="T144">
        <v>3</v>
      </c>
      <c r="U144">
        <v>1</v>
      </c>
      <c r="V144">
        <v>2</v>
      </c>
      <c r="W144">
        <v>-3</v>
      </c>
      <c r="X144">
        <v>1</v>
      </c>
      <c r="Y144">
        <v>-1</v>
      </c>
      <c r="Z144" t="s">
        <v>333</v>
      </c>
      <c r="AA144" t="s">
        <v>36</v>
      </c>
      <c r="AB144" t="s">
        <v>36</v>
      </c>
      <c r="AC144" t="s">
        <v>797</v>
      </c>
      <c r="AD144" t="s">
        <v>36</v>
      </c>
      <c r="AE144" t="s">
        <v>283</v>
      </c>
      <c r="AF144" t="s">
        <v>63</v>
      </c>
      <c r="AG144" s="1" t="s">
        <v>798</v>
      </c>
    </row>
    <row r="145" spans="1:33" ht="15" customHeight="1" x14ac:dyDescent="0.25">
      <c r="A145" t="s">
        <v>799</v>
      </c>
      <c r="B145" t="s">
        <v>799</v>
      </c>
      <c r="C145">
        <v>3</v>
      </c>
      <c r="D145" t="s">
        <v>34</v>
      </c>
      <c r="E145" t="s">
        <v>76</v>
      </c>
      <c r="F145" t="s">
        <v>36</v>
      </c>
      <c r="G145" t="s">
        <v>122</v>
      </c>
      <c r="H145">
        <v>14</v>
      </c>
      <c r="I145">
        <v>0</v>
      </c>
      <c r="J145" t="s">
        <v>478</v>
      </c>
      <c r="K145">
        <v>85</v>
      </c>
      <c r="L145" t="s">
        <v>210</v>
      </c>
      <c r="M145">
        <v>40</v>
      </c>
      <c r="N145">
        <v>18</v>
      </c>
      <c r="O145">
        <v>11</v>
      </c>
      <c r="P145">
        <v>16</v>
      </c>
      <c r="Q145">
        <v>6</v>
      </c>
      <c r="R145">
        <v>16</v>
      </c>
      <c r="S145">
        <v>9</v>
      </c>
      <c r="T145">
        <v>4</v>
      </c>
      <c r="U145">
        <v>0</v>
      </c>
      <c r="V145">
        <v>3</v>
      </c>
      <c r="W145">
        <v>-2</v>
      </c>
      <c r="X145">
        <v>3</v>
      </c>
      <c r="Y145">
        <v>-1</v>
      </c>
      <c r="Z145" t="s">
        <v>800</v>
      </c>
      <c r="AA145" t="s">
        <v>36</v>
      </c>
      <c r="AB145" t="s">
        <v>36</v>
      </c>
      <c r="AC145" t="s">
        <v>36</v>
      </c>
      <c r="AD145" t="s">
        <v>36</v>
      </c>
      <c r="AE145" t="s">
        <v>581</v>
      </c>
      <c r="AF145" t="s">
        <v>801</v>
      </c>
      <c r="AG145" s="1" t="s">
        <v>802</v>
      </c>
    </row>
    <row r="146" spans="1:33" ht="15" customHeight="1" x14ac:dyDescent="0.25">
      <c r="A146" t="s">
        <v>803</v>
      </c>
      <c r="B146" t="s">
        <v>804</v>
      </c>
      <c r="C146">
        <v>3</v>
      </c>
      <c r="D146" t="s">
        <v>82</v>
      </c>
      <c r="E146" t="s">
        <v>518</v>
      </c>
      <c r="F146" t="s">
        <v>36</v>
      </c>
      <c r="G146" t="s">
        <v>37</v>
      </c>
      <c r="H146">
        <v>11</v>
      </c>
      <c r="I146">
        <v>-1</v>
      </c>
      <c r="J146" t="s">
        <v>154</v>
      </c>
      <c r="K146">
        <v>58</v>
      </c>
      <c r="L146" t="s">
        <v>96</v>
      </c>
      <c r="M146">
        <v>20</v>
      </c>
      <c r="N146">
        <v>16</v>
      </c>
      <c r="O146">
        <v>8</v>
      </c>
      <c r="P146">
        <v>15</v>
      </c>
      <c r="Q146">
        <v>6</v>
      </c>
      <c r="R146">
        <v>12</v>
      </c>
      <c r="S146">
        <v>12</v>
      </c>
      <c r="T146">
        <v>3</v>
      </c>
      <c r="U146">
        <v>-1</v>
      </c>
      <c r="V146">
        <v>2</v>
      </c>
      <c r="W146">
        <v>-2</v>
      </c>
      <c r="X146">
        <v>3</v>
      </c>
      <c r="Y146">
        <v>1</v>
      </c>
      <c r="Z146" t="s">
        <v>36</v>
      </c>
      <c r="AA146" t="s">
        <v>36</v>
      </c>
      <c r="AB146" t="s">
        <v>98</v>
      </c>
      <c r="AC146" t="s">
        <v>737</v>
      </c>
      <c r="AD146" t="s">
        <v>36</v>
      </c>
      <c r="AE146" t="s">
        <v>283</v>
      </c>
      <c r="AF146" t="s">
        <v>805</v>
      </c>
      <c r="AG146" s="1" t="s">
        <v>806</v>
      </c>
    </row>
    <row r="147" spans="1:33" ht="15" customHeight="1" x14ac:dyDescent="0.25">
      <c r="A147" t="s">
        <v>807</v>
      </c>
      <c r="B147" t="s">
        <v>804</v>
      </c>
      <c r="C147">
        <v>15</v>
      </c>
      <c r="D147" t="s">
        <v>82</v>
      </c>
      <c r="E147" t="s">
        <v>518</v>
      </c>
      <c r="F147" t="s">
        <v>808</v>
      </c>
      <c r="G147" t="s">
        <v>37</v>
      </c>
      <c r="H147">
        <v>17</v>
      </c>
      <c r="I147">
        <v>10</v>
      </c>
      <c r="J147" t="s">
        <v>809</v>
      </c>
      <c r="K147">
        <v>187</v>
      </c>
      <c r="L147" t="s">
        <v>85</v>
      </c>
      <c r="M147">
        <v>30</v>
      </c>
      <c r="N147">
        <v>18</v>
      </c>
      <c r="O147">
        <v>10</v>
      </c>
      <c r="P147">
        <v>17</v>
      </c>
      <c r="Q147">
        <v>11</v>
      </c>
      <c r="R147">
        <v>19</v>
      </c>
      <c r="S147">
        <v>16</v>
      </c>
      <c r="T147">
        <v>4</v>
      </c>
      <c r="U147">
        <v>0</v>
      </c>
      <c r="V147">
        <v>3</v>
      </c>
      <c r="W147">
        <v>5</v>
      </c>
      <c r="X147">
        <v>9</v>
      </c>
      <c r="Y147">
        <v>3</v>
      </c>
      <c r="Z147" t="s">
        <v>810</v>
      </c>
      <c r="AA147" t="s">
        <v>36</v>
      </c>
      <c r="AB147" t="s">
        <v>98</v>
      </c>
      <c r="AC147" t="s">
        <v>737</v>
      </c>
      <c r="AD147" t="s">
        <v>36</v>
      </c>
      <c r="AE147" t="s">
        <v>811</v>
      </c>
      <c r="AF147" t="s">
        <v>428</v>
      </c>
      <c r="AG147" s="1" t="s">
        <v>812</v>
      </c>
    </row>
    <row r="148" spans="1:33" ht="15" customHeight="1" x14ac:dyDescent="0.25">
      <c r="A148" t="s">
        <v>813</v>
      </c>
      <c r="B148" t="s">
        <v>813</v>
      </c>
      <c r="C148">
        <v>13</v>
      </c>
      <c r="D148" t="s">
        <v>34</v>
      </c>
      <c r="E148" t="s">
        <v>120</v>
      </c>
      <c r="F148" t="s">
        <v>121</v>
      </c>
      <c r="G148" t="s">
        <v>122</v>
      </c>
      <c r="H148">
        <v>18</v>
      </c>
      <c r="I148">
        <v>5</v>
      </c>
      <c r="J148" t="s">
        <v>814</v>
      </c>
      <c r="K148">
        <v>184</v>
      </c>
      <c r="L148" t="s">
        <v>815</v>
      </c>
      <c r="M148">
        <v>20</v>
      </c>
      <c r="N148">
        <v>21</v>
      </c>
      <c r="O148">
        <v>10</v>
      </c>
      <c r="P148">
        <v>22</v>
      </c>
      <c r="Q148">
        <v>19</v>
      </c>
      <c r="R148">
        <v>12</v>
      </c>
      <c r="S148">
        <v>15</v>
      </c>
      <c r="T148">
        <v>5</v>
      </c>
      <c r="U148">
        <v>0</v>
      </c>
      <c r="V148">
        <v>11</v>
      </c>
      <c r="W148">
        <v>9</v>
      </c>
      <c r="X148">
        <v>6</v>
      </c>
      <c r="Y148">
        <v>7</v>
      </c>
      <c r="Z148" t="s">
        <v>36</v>
      </c>
      <c r="AA148" t="s">
        <v>438</v>
      </c>
      <c r="AB148" t="s">
        <v>36</v>
      </c>
      <c r="AC148" t="s">
        <v>816</v>
      </c>
      <c r="AD148" t="s">
        <v>36</v>
      </c>
      <c r="AE148" t="s">
        <v>817</v>
      </c>
      <c r="AF148" t="s">
        <v>129</v>
      </c>
      <c r="AG148" s="1" t="s">
        <v>818</v>
      </c>
    </row>
    <row r="149" spans="1:33" ht="15" customHeight="1" x14ac:dyDescent="0.25">
      <c r="A149" t="s">
        <v>819</v>
      </c>
      <c r="B149" t="s">
        <v>819</v>
      </c>
      <c r="C149">
        <v>5</v>
      </c>
      <c r="D149" t="s">
        <v>56</v>
      </c>
      <c r="E149" t="s">
        <v>120</v>
      </c>
      <c r="F149" t="s">
        <v>36</v>
      </c>
      <c r="G149" t="s">
        <v>159</v>
      </c>
      <c r="H149">
        <v>17</v>
      </c>
      <c r="I149">
        <v>5</v>
      </c>
      <c r="J149" t="s">
        <v>542</v>
      </c>
      <c r="K149">
        <v>112</v>
      </c>
      <c r="L149" t="s">
        <v>85</v>
      </c>
      <c r="M149">
        <v>30</v>
      </c>
      <c r="N149">
        <v>18</v>
      </c>
      <c r="O149">
        <v>15</v>
      </c>
      <c r="P149">
        <v>16</v>
      </c>
      <c r="Q149">
        <v>16</v>
      </c>
      <c r="R149">
        <v>14</v>
      </c>
      <c r="S149">
        <v>16</v>
      </c>
      <c r="T149">
        <v>4</v>
      </c>
      <c r="U149">
        <v>2</v>
      </c>
      <c r="V149">
        <v>3</v>
      </c>
      <c r="W149">
        <v>3</v>
      </c>
      <c r="X149">
        <v>2</v>
      </c>
      <c r="Y149">
        <v>3</v>
      </c>
      <c r="Z149" t="s">
        <v>820</v>
      </c>
      <c r="AA149" t="s">
        <v>821</v>
      </c>
      <c r="AB149" t="s">
        <v>36</v>
      </c>
      <c r="AC149" t="s">
        <v>427</v>
      </c>
      <c r="AD149" t="s">
        <v>36</v>
      </c>
      <c r="AE149" t="s">
        <v>408</v>
      </c>
      <c r="AF149" t="s">
        <v>822</v>
      </c>
      <c r="AG149" s="1" t="s">
        <v>823</v>
      </c>
    </row>
    <row r="150" spans="1:33" ht="15" customHeight="1" x14ac:dyDescent="0.25">
      <c r="A150" t="s">
        <v>824</v>
      </c>
      <c r="B150" t="s">
        <v>824</v>
      </c>
      <c r="C150">
        <v>3</v>
      </c>
      <c r="D150" t="s">
        <v>34</v>
      </c>
      <c r="E150" t="s">
        <v>120</v>
      </c>
      <c r="F150" t="s">
        <v>36</v>
      </c>
      <c r="G150" t="s">
        <v>159</v>
      </c>
      <c r="H150">
        <v>13</v>
      </c>
      <c r="I150">
        <v>2</v>
      </c>
      <c r="J150" t="s">
        <v>201</v>
      </c>
      <c r="K150">
        <v>68</v>
      </c>
      <c r="L150" t="s">
        <v>825</v>
      </c>
      <c r="M150">
        <v>60</v>
      </c>
      <c r="N150">
        <v>18</v>
      </c>
      <c r="O150">
        <v>15</v>
      </c>
      <c r="P150">
        <v>16</v>
      </c>
      <c r="Q150">
        <v>10</v>
      </c>
      <c r="R150">
        <v>13</v>
      </c>
      <c r="S150">
        <v>15</v>
      </c>
      <c r="T150">
        <v>4</v>
      </c>
      <c r="U150">
        <v>2</v>
      </c>
      <c r="V150">
        <v>3</v>
      </c>
      <c r="W150">
        <v>0</v>
      </c>
      <c r="X150">
        <v>1</v>
      </c>
      <c r="Y150">
        <v>2</v>
      </c>
      <c r="Z150" t="s">
        <v>36</v>
      </c>
      <c r="AA150" t="s">
        <v>36</v>
      </c>
      <c r="AB150" t="s">
        <v>36</v>
      </c>
      <c r="AC150" t="s">
        <v>98</v>
      </c>
      <c r="AD150" t="s">
        <v>36</v>
      </c>
      <c r="AE150" t="s">
        <v>116</v>
      </c>
      <c r="AF150" t="s">
        <v>826</v>
      </c>
      <c r="AG150" s="1" t="s">
        <v>827</v>
      </c>
    </row>
    <row r="151" spans="1:33" ht="15" customHeight="1" x14ac:dyDescent="0.25">
      <c r="A151" t="s">
        <v>828</v>
      </c>
      <c r="B151" t="s">
        <v>828</v>
      </c>
      <c r="C151">
        <v>0.125</v>
      </c>
      <c r="D151" t="s">
        <v>82</v>
      </c>
      <c r="E151" t="s">
        <v>83</v>
      </c>
      <c r="F151" t="s">
        <v>36</v>
      </c>
      <c r="G151" t="s">
        <v>46</v>
      </c>
      <c r="H151">
        <v>15</v>
      </c>
      <c r="I151">
        <v>1</v>
      </c>
      <c r="J151" t="s">
        <v>390</v>
      </c>
      <c r="K151">
        <v>9</v>
      </c>
      <c r="L151" t="s">
        <v>85</v>
      </c>
      <c r="M151">
        <v>30</v>
      </c>
      <c r="N151">
        <v>11</v>
      </c>
      <c r="O151">
        <v>12</v>
      </c>
      <c r="P151">
        <v>11</v>
      </c>
      <c r="Q151">
        <v>12</v>
      </c>
      <c r="R151">
        <v>14</v>
      </c>
      <c r="S151">
        <v>16</v>
      </c>
      <c r="T151">
        <v>0</v>
      </c>
      <c r="U151">
        <v>1</v>
      </c>
      <c r="V151">
        <v>0</v>
      </c>
      <c r="W151">
        <v>1</v>
      </c>
      <c r="X151">
        <v>2</v>
      </c>
      <c r="Y151">
        <v>3</v>
      </c>
      <c r="Z151" t="s">
        <v>829</v>
      </c>
      <c r="AA151" t="s">
        <v>36</v>
      </c>
      <c r="AB151" t="s">
        <v>36</v>
      </c>
      <c r="AC151" t="s">
        <v>36</v>
      </c>
      <c r="AD151" t="s">
        <v>830</v>
      </c>
      <c r="AE151" t="s">
        <v>398</v>
      </c>
      <c r="AF151" t="s">
        <v>805</v>
      </c>
      <c r="AG151" s="1" t="s">
        <v>831</v>
      </c>
    </row>
    <row r="152" spans="1:33" ht="15" customHeight="1" x14ac:dyDescent="0.25">
      <c r="A152" t="s">
        <v>832</v>
      </c>
      <c r="B152" t="s">
        <v>832</v>
      </c>
      <c r="C152">
        <v>2</v>
      </c>
      <c r="D152" t="s">
        <v>34</v>
      </c>
      <c r="E152" t="s">
        <v>200</v>
      </c>
      <c r="F152" t="s">
        <v>36</v>
      </c>
      <c r="G152" t="s">
        <v>58</v>
      </c>
      <c r="H152">
        <v>8</v>
      </c>
      <c r="I152">
        <v>-2</v>
      </c>
      <c r="J152" t="s">
        <v>833</v>
      </c>
      <c r="K152">
        <v>52</v>
      </c>
      <c r="L152" t="s">
        <v>202</v>
      </c>
      <c r="M152">
        <v>20</v>
      </c>
      <c r="N152">
        <v>15</v>
      </c>
      <c r="O152">
        <v>6</v>
      </c>
      <c r="P152">
        <v>14</v>
      </c>
      <c r="Q152">
        <v>2</v>
      </c>
      <c r="R152">
        <v>6</v>
      </c>
      <c r="S152">
        <v>1</v>
      </c>
      <c r="T152">
        <v>2</v>
      </c>
      <c r="U152">
        <v>-2</v>
      </c>
      <c r="V152">
        <v>2</v>
      </c>
      <c r="W152">
        <v>-4</v>
      </c>
      <c r="X152">
        <v>-2</v>
      </c>
      <c r="Y152">
        <v>-5</v>
      </c>
      <c r="Z152" t="s">
        <v>36</v>
      </c>
      <c r="AA152" t="s">
        <v>178</v>
      </c>
      <c r="AB152" t="s">
        <v>36</v>
      </c>
      <c r="AC152" t="s">
        <v>834</v>
      </c>
      <c r="AD152" t="s">
        <v>36</v>
      </c>
      <c r="AE152" t="s">
        <v>204</v>
      </c>
      <c r="AF152" t="s">
        <v>63</v>
      </c>
      <c r="AG152" s="1" t="s">
        <v>835</v>
      </c>
    </row>
    <row r="153" spans="1:33" ht="15" customHeight="1" x14ac:dyDescent="0.25">
      <c r="A153" t="s">
        <v>836</v>
      </c>
      <c r="B153" t="s">
        <v>836</v>
      </c>
      <c r="C153">
        <v>2</v>
      </c>
      <c r="D153" t="s">
        <v>34</v>
      </c>
      <c r="E153" t="s">
        <v>339</v>
      </c>
      <c r="F153" t="s">
        <v>36</v>
      </c>
      <c r="G153" t="s">
        <v>122</v>
      </c>
      <c r="H153">
        <v>11</v>
      </c>
      <c r="I153">
        <v>-1</v>
      </c>
      <c r="J153" t="s">
        <v>201</v>
      </c>
      <c r="K153">
        <v>68</v>
      </c>
      <c r="L153" t="s">
        <v>210</v>
      </c>
      <c r="M153">
        <v>40</v>
      </c>
      <c r="N153">
        <v>19</v>
      </c>
      <c r="O153">
        <v>8</v>
      </c>
      <c r="P153">
        <v>16</v>
      </c>
      <c r="Q153">
        <v>5</v>
      </c>
      <c r="R153">
        <v>7</v>
      </c>
      <c r="S153">
        <v>7</v>
      </c>
      <c r="T153">
        <v>4</v>
      </c>
      <c r="U153">
        <v>-1</v>
      </c>
      <c r="V153">
        <v>3</v>
      </c>
      <c r="W153">
        <v>-3</v>
      </c>
      <c r="X153">
        <v>-2</v>
      </c>
      <c r="Y153">
        <v>-2</v>
      </c>
      <c r="Z153" t="s">
        <v>36</v>
      </c>
      <c r="AA153" t="s">
        <v>36</v>
      </c>
      <c r="AB153" t="s">
        <v>36</v>
      </c>
      <c r="AC153" t="s">
        <v>36</v>
      </c>
      <c r="AD153" t="s">
        <v>837</v>
      </c>
      <c r="AE153" t="s">
        <v>717</v>
      </c>
      <c r="AF153" t="s">
        <v>344</v>
      </c>
      <c r="AG153" s="1" t="s">
        <v>838</v>
      </c>
    </row>
    <row r="154" spans="1:33" ht="15" customHeight="1" x14ac:dyDescent="0.25">
      <c r="A154" t="s">
        <v>839</v>
      </c>
      <c r="B154" t="s">
        <v>839</v>
      </c>
      <c r="C154">
        <v>7</v>
      </c>
      <c r="D154" t="s">
        <v>34</v>
      </c>
      <c r="E154" t="s">
        <v>120</v>
      </c>
      <c r="F154" t="s">
        <v>36</v>
      </c>
      <c r="G154" t="s">
        <v>37</v>
      </c>
      <c r="H154">
        <v>17</v>
      </c>
      <c r="I154">
        <v>0</v>
      </c>
      <c r="J154" t="s">
        <v>361</v>
      </c>
      <c r="K154">
        <v>119</v>
      </c>
      <c r="L154" t="s">
        <v>840</v>
      </c>
      <c r="M154">
        <v>30</v>
      </c>
      <c r="N154">
        <v>19</v>
      </c>
      <c r="O154">
        <v>11</v>
      </c>
      <c r="P154">
        <v>16</v>
      </c>
      <c r="Q154">
        <v>14</v>
      </c>
      <c r="R154">
        <v>12</v>
      </c>
      <c r="S154">
        <v>15</v>
      </c>
      <c r="T154">
        <v>4</v>
      </c>
      <c r="U154">
        <v>3</v>
      </c>
      <c r="V154">
        <v>6</v>
      </c>
      <c r="W154">
        <v>2</v>
      </c>
      <c r="X154">
        <v>4</v>
      </c>
      <c r="Y154">
        <v>5</v>
      </c>
      <c r="Z154" t="s">
        <v>841</v>
      </c>
      <c r="AA154" t="s">
        <v>146</v>
      </c>
      <c r="AB154" t="s">
        <v>36</v>
      </c>
      <c r="AC154" t="s">
        <v>36</v>
      </c>
      <c r="AD154" t="s">
        <v>36</v>
      </c>
      <c r="AE154" t="s">
        <v>321</v>
      </c>
      <c r="AF154" t="s">
        <v>344</v>
      </c>
      <c r="AG154" s="1" t="s">
        <v>842</v>
      </c>
    </row>
    <row r="155" spans="1:33" ht="15" customHeight="1" x14ac:dyDescent="0.25">
      <c r="A155" t="s">
        <v>843</v>
      </c>
      <c r="B155" t="s">
        <v>843</v>
      </c>
      <c r="C155">
        <v>5</v>
      </c>
      <c r="D155" t="s">
        <v>34</v>
      </c>
      <c r="E155" t="s">
        <v>35</v>
      </c>
      <c r="F155" t="s">
        <v>36</v>
      </c>
      <c r="G155" t="s">
        <v>46</v>
      </c>
      <c r="H155">
        <v>14</v>
      </c>
      <c r="I155">
        <v>0</v>
      </c>
      <c r="J155" t="s">
        <v>844</v>
      </c>
      <c r="K155">
        <v>104</v>
      </c>
      <c r="L155" t="s">
        <v>85</v>
      </c>
      <c r="M155">
        <v>30</v>
      </c>
      <c r="N155">
        <v>16</v>
      </c>
      <c r="O155">
        <v>11</v>
      </c>
      <c r="P155">
        <v>19</v>
      </c>
      <c r="Q155">
        <v>6</v>
      </c>
      <c r="R155">
        <v>13</v>
      </c>
      <c r="S155">
        <v>6</v>
      </c>
      <c r="T155">
        <v>3</v>
      </c>
      <c r="U155">
        <v>0</v>
      </c>
      <c r="V155">
        <v>7</v>
      </c>
      <c r="W155">
        <v>-2</v>
      </c>
      <c r="X155">
        <v>1</v>
      </c>
      <c r="Y155">
        <v>-2</v>
      </c>
      <c r="Z155" t="s">
        <v>36</v>
      </c>
      <c r="AA155" t="s">
        <v>36</v>
      </c>
      <c r="AB155" t="s">
        <v>36</v>
      </c>
      <c r="AC155" t="s">
        <v>36</v>
      </c>
      <c r="AD155" t="s">
        <v>36</v>
      </c>
      <c r="AE155" t="s">
        <v>433</v>
      </c>
      <c r="AF155" t="s">
        <v>845</v>
      </c>
      <c r="AG155" s="1" t="s">
        <v>846</v>
      </c>
    </row>
    <row r="156" spans="1:33" ht="15" customHeight="1" x14ac:dyDescent="0.25">
      <c r="A156" t="s">
        <v>847</v>
      </c>
      <c r="B156" t="s">
        <v>847</v>
      </c>
      <c r="C156">
        <v>3</v>
      </c>
      <c r="D156" t="s">
        <v>34</v>
      </c>
      <c r="E156" t="s">
        <v>76</v>
      </c>
      <c r="F156" t="s">
        <v>36</v>
      </c>
      <c r="G156" t="s">
        <v>58</v>
      </c>
      <c r="H156">
        <v>13</v>
      </c>
      <c r="I156">
        <v>1</v>
      </c>
      <c r="J156" t="s">
        <v>615</v>
      </c>
      <c r="K156">
        <v>59</v>
      </c>
      <c r="L156" t="s">
        <v>761</v>
      </c>
      <c r="M156">
        <v>40</v>
      </c>
      <c r="N156">
        <v>20</v>
      </c>
      <c r="O156">
        <v>12</v>
      </c>
      <c r="P156">
        <v>17</v>
      </c>
      <c r="Q156">
        <v>3</v>
      </c>
      <c r="R156">
        <v>12</v>
      </c>
      <c r="S156">
        <v>7</v>
      </c>
      <c r="T156">
        <v>5</v>
      </c>
      <c r="U156">
        <v>1</v>
      </c>
      <c r="V156">
        <v>3</v>
      </c>
      <c r="W156">
        <v>-4</v>
      </c>
      <c r="X156">
        <v>1</v>
      </c>
      <c r="Y156">
        <v>-2</v>
      </c>
      <c r="Z156" t="s">
        <v>617</v>
      </c>
      <c r="AA156" t="s">
        <v>36</v>
      </c>
      <c r="AB156" t="s">
        <v>36</v>
      </c>
      <c r="AC156" t="s">
        <v>36</v>
      </c>
      <c r="AD156" t="s">
        <v>36</v>
      </c>
      <c r="AE156" t="s">
        <v>212</v>
      </c>
      <c r="AF156" t="s">
        <v>63</v>
      </c>
      <c r="AG156" s="1" t="s">
        <v>848</v>
      </c>
    </row>
    <row r="157" spans="1:33" ht="15" customHeight="1" x14ac:dyDescent="0.25">
      <c r="A157" t="s">
        <v>849</v>
      </c>
      <c r="B157" t="s">
        <v>849</v>
      </c>
      <c r="C157">
        <v>2</v>
      </c>
      <c r="D157" t="s">
        <v>34</v>
      </c>
      <c r="E157" t="s">
        <v>373</v>
      </c>
      <c r="F157" t="s">
        <v>36</v>
      </c>
      <c r="G157" t="s">
        <v>248</v>
      </c>
      <c r="H157">
        <v>12</v>
      </c>
      <c r="I157">
        <v>2</v>
      </c>
      <c r="J157" t="s">
        <v>615</v>
      </c>
      <c r="K157">
        <v>59</v>
      </c>
      <c r="L157" t="s">
        <v>850</v>
      </c>
      <c r="M157">
        <v>60</v>
      </c>
      <c r="N157">
        <v>18</v>
      </c>
      <c r="O157">
        <v>15</v>
      </c>
      <c r="P157">
        <v>16</v>
      </c>
      <c r="Q157">
        <v>10</v>
      </c>
      <c r="R157">
        <v>15</v>
      </c>
      <c r="S157">
        <v>13</v>
      </c>
      <c r="T157">
        <v>4</v>
      </c>
      <c r="U157">
        <v>4</v>
      </c>
      <c r="V157">
        <v>5</v>
      </c>
      <c r="W157">
        <v>0</v>
      </c>
      <c r="X157">
        <v>4</v>
      </c>
      <c r="Y157">
        <v>3</v>
      </c>
      <c r="Z157" t="s">
        <v>293</v>
      </c>
      <c r="AA157" t="s">
        <v>36</v>
      </c>
      <c r="AB157" t="s">
        <v>36</v>
      </c>
      <c r="AC157" t="s">
        <v>36</v>
      </c>
      <c r="AD157" t="s">
        <v>36</v>
      </c>
      <c r="AE157" t="s">
        <v>89</v>
      </c>
      <c r="AF157" t="s">
        <v>851</v>
      </c>
      <c r="AG157" s="1" t="s">
        <v>852</v>
      </c>
    </row>
    <row r="158" spans="1:33" ht="15" customHeight="1" x14ac:dyDescent="0.25">
      <c r="A158" t="s">
        <v>853</v>
      </c>
      <c r="B158" t="s">
        <v>853</v>
      </c>
      <c r="C158">
        <v>3</v>
      </c>
      <c r="D158" t="s">
        <v>34</v>
      </c>
      <c r="E158" t="s">
        <v>76</v>
      </c>
      <c r="F158" t="s">
        <v>36</v>
      </c>
      <c r="G158" t="s">
        <v>58</v>
      </c>
      <c r="H158">
        <v>14</v>
      </c>
      <c r="I158">
        <v>3</v>
      </c>
      <c r="J158" t="s">
        <v>854</v>
      </c>
      <c r="K158">
        <v>45</v>
      </c>
      <c r="L158" t="s">
        <v>144</v>
      </c>
      <c r="M158">
        <v>30</v>
      </c>
      <c r="N158">
        <v>15</v>
      </c>
      <c r="O158">
        <v>16</v>
      </c>
      <c r="P158">
        <v>12</v>
      </c>
      <c r="Q158">
        <v>6</v>
      </c>
      <c r="R158">
        <v>10</v>
      </c>
      <c r="S158">
        <v>6</v>
      </c>
      <c r="T158">
        <v>2</v>
      </c>
      <c r="U158">
        <v>3</v>
      </c>
      <c r="V158">
        <v>1</v>
      </c>
      <c r="W158">
        <v>-2</v>
      </c>
      <c r="X158">
        <v>0</v>
      </c>
      <c r="Y158">
        <v>-2</v>
      </c>
      <c r="Z158" t="s">
        <v>855</v>
      </c>
      <c r="AA158" t="s">
        <v>36</v>
      </c>
      <c r="AB158" t="s">
        <v>36</v>
      </c>
      <c r="AC158" t="s">
        <v>36</v>
      </c>
      <c r="AD158" t="s">
        <v>36</v>
      </c>
      <c r="AE158" t="s">
        <v>51</v>
      </c>
      <c r="AF158" t="s">
        <v>63</v>
      </c>
      <c r="AG158" s="1" t="s">
        <v>856</v>
      </c>
    </row>
    <row r="159" spans="1:33" ht="15" customHeight="1" x14ac:dyDescent="0.25">
      <c r="A159" t="s">
        <v>857</v>
      </c>
      <c r="B159" t="s">
        <v>858</v>
      </c>
      <c r="C159">
        <v>1</v>
      </c>
      <c r="D159" t="s">
        <v>82</v>
      </c>
      <c r="E159" t="s">
        <v>83</v>
      </c>
      <c r="F159" t="s">
        <v>36</v>
      </c>
      <c r="G159" t="s">
        <v>46</v>
      </c>
      <c r="H159">
        <v>14</v>
      </c>
      <c r="I159">
        <v>5</v>
      </c>
      <c r="J159" t="s">
        <v>59</v>
      </c>
      <c r="K159">
        <v>33</v>
      </c>
      <c r="L159" t="s">
        <v>85</v>
      </c>
      <c r="M159">
        <v>30</v>
      </c>
      <c r="N159">
        <v>10</v>
      </c>
      <c r="O159">
        <v>16</v>
      </c>
      <c r="P159">
        <v>12</v>
      </c>
      <c r="Q159">
        <v>8</v>
      </c>
      <c r="R159">
        <v>12</v>
      </c>
      <c r="S159">
        <v>14</v>
      </c>
      <c r="T159">
        <v>0</v>
      </c>
      <c r="U159">
        <v>5</v>
      </c>
      <c r="V159">
        <v>1</v>
      </c>
      <c r="W159">
        <v>-1</v>
      </c>
      <c r="X159">
        <v>1</v>
      </c>
      <c r="Y159">
        <v>4</v>
      </c>
      <c r="Z159" t="s">
        <v>36</v>
      </c>
      <c r="AA159" t="s">
        <v>36</v>
      </c>
      <c r="AB159" t="s">
        <v>36</v>
      </c>
      <c r="AC159" t="s">
        <v>36</v>
      </c>
      <c r="AD159" t="s">
        <v>859</v>
      </c>
      <c r="AE159" t="s">
        <v>116</v>
      </c>
      <c r="AF159" t="s">
        <v>100</v>
      </c>
      <c r="AG159" s="1" t="s">
        <v>860</v>
      </c>
    </row>
    <row r="160" spans="1:33" ht="15" customHeight="1" x14ac:dyDescent="0.25">
      <c r="A160" t="s">
        <v>861</v>
      </c>
      <c r="B160" t="s">
        <v>858</v>
      </c>
      <c r="C160">
        <v>6</v>
      </c>
      <c r="D160" t="s">
        <v>82</v>
      </c>
      <c r="E160" t="s">
        <v>83</v>
      </c>
      <c r="F160" t="s">
        <v>36</v>
      </c>
      <c r="G160" t="s">
        <v>46</v>
      </c>
      <c r="H160">
        <v>17</v>
      </c>
      <c r="I160">
        <v>7</v>
      </c>
      <c r="J160" t="s">
        <v>862</v>
      </c>
      <c r="K160">
        <v>84</v>
      </c>
      <c r="L160" t="s">
        <v>85</v>
      </c>
      <c r="M160">
        <v>30</v>
      </c>
      <c r="N160">
        <v>10</v>
      </c>
      <c r="O160">
        <v>18</v>
      </c>
      <c r="P160">
        <v>14</v>
      </c>
      <c r="Q160">
        <v>10</v>
      </c>
      <c r="R160">
        <v>14</v>
      </c>
      <c r="S160">
        <v>17</v>
      </c>
      <c r="T160">
        <v>3</v>
      </c>
      <c r="U160">
        <v>7</v>
      </c>
      <c r="V160">
        <v>2</v>
      </c>
      <c r="W160">
        <v>0</v>
      </c>
      <c r="X160">
        <v>5</v>
      </c>
      <c r="Y160">
        <v>6</v>
      </c>
      <c r="Z160" t="s">
        <v>863</v>
      </c>
      <c r="AA160" t="s">
        <v>36</v>
      </c>
      <c r="AB160" t="s">
        <v>36</v>
      </c>
      <c r="AC160" t="s">
        <v>36</v>
      </c>
      <c r="AD160" t="s">
        <v>864</v>
      </c>
      <c r="AE160" t="s">
        <v>449</v>
      </c>
      <c r="AF160" t="s">
        <v>100</v>
      </c>
      <c r="AG160" s="1" t="s">
        <v>865</v>
      </c>
    </row>
    <row r="161" spans="1:33" ht="15" customHeight="1" x14ac:dyDescent="0.25">
      <c r="A161" t="s">
        <v>866</v>
      </c>
      <c r="B161" t="s">
        <v>866</v>
      </c>
      <c r="C161">
        <v>20</v>
      </c>
      <c r="D161" t="s">
        <v>34</v>
      </c>
      <c r="E161" t="s">
        <v>120</v>
      </c>
      <c r="F161" t="s">
        <v>142</v>
      </c>
      <c r="G161" t="s">
        <v>37</v>
      </c>
      <c r="H161">
        <v>21</v>
      </c>
      <c r="I161">
        <v>14</v>
      </c>
      <c r="J161" t="s">
        <v>867</v>
      </c>
      <c r="K161">
        <v>337</v>
      </c>
      <c r="L161" t="s">
        <v>311</v>
      </c>
      <c r="M161">
        <v>30</v>
      </c>
      <c r="N161">
        <v>26</v>
      </c>
      <c r="O161">
        <v>14</v>
      </c>
      <c r="P161">
        <v>24</v>
      </c>
      <c r="Q161">
        <v>22</v>
      </c>
      <c r="R161">
        <v>18</v>
      </c>
      <c r="S161">
        <v>24</v>
      </c>
      <c r="T161">
        <v>8</v>
      </c>
      <c r="U161">
        <v>8</v>
      </c>
      <c r="V161">
        <v>7</v>
      </c>
      <c r="W161">
        <v>6</v>
      </c>
      <c r="X161">
        <v>10</v>
      </c>
      <c r="Y161">
        <v>7</v>
      </c>
      <c r="Z161" t="s">
        <v>868</v>
      </c>
      <c r="AA161" t="s">
        <v>146</v>
      </c>
      <c r="AB161" t="s">
        <v>36</v>
      </c>
      <c r="AC161" t="s">
        <v>115</v>
      </c>
      <c r="AD161" t="s">
        <v>36</v>
      </c>
      <c r="AE161" t="s">
        <v>869</v>
      </c>
      <c r="AF161" t="s">
        <v>148</v>
      </c>
      <c r="AG161" s="1" t="s">
        <v>870</v>
      </c>
    </row>
    <row r="162" spans="1:33" ht="15" customHeight="1" x14ac:dyDescent="0.25">
      <c r="A162" t="s">
        <v>871</v>
      </c>
      <c r="B162" t="s">
        <v>871</v>
      </c>
      <c r="C162">
        <v>16</v>
      </c>
      <c r="D162" t="s">
        <v>34</v>
      </c>
      <c r="E162" t="s">
        <v>373</v>
      </c>
      <c r="F162" t="s">
        <v>411</v>
      </c>
      <c r="G162" t="s">
        <v>208</v>
      </c>
      <c r="H162">
        <v>19</v>
      </c>
      <c r="I162">
        <v>10</v>
      </c>
      <c r="J162" t="s">
        <v>872</v>
      </c>
      <c r="K162">
        <v>262</v>
      </c>
      <c r="L162" t="s">
        <v>873</v>
      </c>
      <c r="M162">
        <v>40</v>
      </c>
      <c r="N162">
        <v>24</v>
      </c>
      <c r="O162">
        <v>20</v>
      </c>
      <c r="P162">
        <v>24</v>
      </c>
      <c r="Q162">
        <v>19</v>
      </c>
      <c r="R162">
        <v>22</v>
      </c>
      <c r="S162">
        <v>25</v>
      </c>
      <c r="T162">
        <v>12</v>
      </c>
      <c r="U162">
        <v>5</v>
      </c>
      <c r="V162">
        <v>12</v>
      </c>
      <c r="W162">
        <v>4</v>
      </c>
      <c r="X162">
        <v>11</v>
      </c>
      <c r="Y162">
        <v>12</v>
      </c>
      <c r="Z162" t="s">
        <v>874</v>
      </c>
      <c r="AA162" t="s">
        <v>415</v>
      </c>
      <c r="AB162" t="s">
        <v>36</v>
      </c>
      <c r="AC162" t="s">
        <v>416</v>
      </c>
      <c r="AD162" t="s">
        <v>36</v>
      </c>
      <c r="AE162" t="s">
        <v>724</v>
      </c>
      <c r="AF162" t="s">
        <v>378</v>
      </c>
      <c r="AG162" s="1" t="s">
        <v>875</v>
      </c>
    </row>
    <row r="163" spans="1:33" ht="15" customHeight="1" x14ac:dyDescent="0.25">
      <c r="A163" t="s">
        <v>876</v>
      </c>
      <c r="B163" t="s">
        <v>877</v>
      </c>
      <c r="C163">
        <v>0.25</v>
      </c>
      <c r="D163" t="s">
        <v>82</v>
      </c>
      <c r="E163" t="s">
        <v>83</v>
      </c>
      <c r="F163" t="s">
        <v>808</v>
      </c>
      <c r="G163" t="s">
        <v>46</v>
      </c>
      <c r="H163">
        <v>13</v>
      </c>
      <c r="I163">
        <v>0</v>
      </c>
      <c r="J163" t="s">
        <v>133</v>
      </c>
      <c r="K163">
        <v>11</v>
      </c>
      <c r="L163" t="s">
        <v>85</v>
      </c>
      <c r="M163">
        <v>30</v>
      </c>
      <c r="N163">
        <v>14</v>
      </c>
      <c r="O163">
        <v>10</v>
      </c>
      <c r="P163">
        <v>12</v>
      </c>
      <c r="Q163">
        <v>10</v>
      </c>
      <c r="R163">
        <v>14</v>
      </c>
      <c r="S163">
        <v>11</v>
      </c>
      <c r="T163">
        <v>2</v>
      </c>
      <c r="U163">
        <v>0</v>
      </c>
      <c r="V163">
        <v>1</v>
      </c>
      <c r="W163">
        <v>0</v>
      </c>
      <c r="X163">
        <v>2</v>
      </c>
      <c r="Y163">
        <v>0</v>
      </c>
      <c r="Z163" t="s">
        <v>878</v>
      </c>
      <c r="AA163" t="s">
        <v>36</v>
      </c>
      <c r="AB163" t="s">
        <v>36</v>
      </c>
      <c r="AC163" t="s">
        <v>36</v>
      </c>
      <c r="AD163" t="s">
        <v>879</v>
      </c>
      <c r="AE163" t="s">
        <v>398</v>
      </c>
      <c r="AF163" t="s">
        <v>170</v>
      </c>
      <c r="AG163" s="1" t="s">
        <v>880</v>
      </c>
    </row>
    <row r="164" spans="1:33" ht="15" customHeight="1" x14ac:dyDescent="0.25">
      <c r="A164" t="s">
        <v>881</v>
      </c>
      <c r="B164" t="s">
        <v>877</v>
      </c>
      <c r="C164">
        <v>2</v>
      </c>
      <c r="D164" t="s">
        <v>82</v>
      </c>
      <c r="E164" t="s">
        <v>83</v>
      </c>
      <c r="F164" t="s">
        <v>808</v>
      </c>
      <c r="G164" t="s">
        <v>46</v>
      </c>
      <c r="H164">
        <v>13</v>
      </c>
      <c r="I164">
        <v>0</v>
      </c>
      <c r="J164" t="s">
        <v>592</v>
      </c>
      <c r="K164">
        <v>38</v>
      </c>
      <c r="L164" t="s">
        <v>85</v>
      </c>
      <c r="M164">
        <v>30</v>
      </c>
      <c r="N164">
        <v>16</v>
      </c>
      <c r="O164">
        <v>10</v>
      </c>
      <c r="P164">
        <v>12</v>
      </c>
      <c r="Q164">
        <v>13</v>
      </c>
      <c r="R164">
        <v>16</v>
      </c>
      <c r="S164">
        <v>13</v>
      </c>
      <c r="T164">
        <v>3</v>
      </c>
      <c r="U164">
        <v>0</v>
      </c>
      <c r="V164">
        <v>1</v>
      </c>
      <c r="W164">
        <v>1</v>
      </c>
      <c r="X164">
        <v>3</v>
      </c>
      <c r="Y164">
        <v>1</v>
      </c>
      <c r="Z164" t="s">
        <v>882</v>
      </c>
      <c r="AA164" t="s">
        <v>36</v>
      </c>
      <c r="AB164" t="s">
        <v>36</v>
      </c>
      <c r="AC164" t="s">
        <v>36</v>
      </c>
      <c r="AD164" t="s">
        <v>879</v>
      </c>
      <c r="AE164" t="s">
        <v>449</v>
      </c>
      <c r="AF164" t="s">
        <v>100</v>
      </c>
      <c r="AG164" s="1" t="s">
        <v>883</v>
      </c>
    </row>
    <row r="165" spans="1:33" ht="15" customHeight="1" x14ac:dyDescent="0.25">
      <c r="A165" t="s">
        <v>884</v>
      </c>
      <c r="B165" t="s">
        <v>884</v>
      </c>
      <c r="C165">
        <v>0.25</v>
      </c>
      <c r="D165" t="s">
        <v>669</v>
      </c>
      <c r="E165" t="s">
        <v>174</v>
      </c>
      <c r="F165" t="s">
        <v>36</v>
      </c>
      <c r="G165" t="s">
        <v>298</v>
      </c>
      <c r="H165">
        <v>14</v>
      </c>
      <c r="I165">
        <v>2</v>
      </c>
      <c r="J165" t="s">
        <v>885</v>
      </c>
      <c r="K165">
        <v>10</v>
      </c>
      <c r="L165" t="s">
        <v>886</v>
      </c>
      <c r="M165">
        <v>15</v>
      </c>
      <c r="N165">
        <v>6</v>
      </c>
      <c r="O165">
        <v>15</v>
      </c>
      <c r="P165">
        <v>13</v>
      </c>
      <c r="Q165">
        <v>10</v>
      </c>
      <c r="R165">
        <v>12</v>
      </c>
      <c r="S165">
        <v>10</v>
      </c>
      <c r="T165">
        <v>-2</v>
      </c>
      <c r="U165">
        <v>2</v>
      </c>
      <c r="V165">
        <v>1</v>
      </c>
      <c r="W165">
        <v>0</v>
      </c>
      <c r="X165">
        <v>1</v>
      </c>
      <c r="Y165">
        <v>0</v>
      </c>
      <c r="Z165" t="s">
        <v>406</v>
      </c>
      <c r="AA165" t="s">
        <v>36</v>
      </c>
      <c r="AB165" t="s">
        <v>36</v>
      </c>
      <c r="AC165" t="s">
        <v>36</v>
      </c>
      <c r="AD165" t="s">
        <v>36</v>
      </c>
      <c r="AE165" t="s">
        <v>644</v>
      </c>
      <c r="AF165" t="s">
        <v>887</v>
      </c>
      <c r="AG165" s="1" t="s">
        <v>888</v>
      </c>
    </row>
    <row r="166" spans="1:33" ht="15" customHeight="1" x14ac:dyDescent="0.25">
      <c r="A166" t="s">
        <v>889</v>
      </c>
      <c r="B166" t="s">
        <v>889</v>
      </c>
      <c r="C166">
        <v>15</v>
      </c>
      <c r="D166" t="s">
        <v>194</v>
      </c>
      <c r="E166" t="s">
        <v>76</v>
      </c>
      <c r="F166" t="s">
        <v>36</v>
      </c>
      <c r="G166" t="s">
        <v>58</v>
      </c>
      <c r="H166">
        <v>18</v>
      </c>
      <c r="I166">
        <v>3</v>
      </c>
      <c r="J166" t="s">
        <v>890</v>
      </c>
      <c r="K166">
        <v>247</v>
      </c>
      <c r="L166" t="s">
        <v>891</v>
      </c>
      <c r="M166">
        <v>50</v>
      </c>
      <c r="N166">
        <v>28</v>
      </c>
      <c r="O166">
        <v>7</v>
      </c>
      <c r="P166">
        <v>22</v>
      </c>
      <c r="Q166">
        <v>1</v>
      </c>
      <c r="R166">
        <v>8</v>
      </c>
      <c r="S166">
        <v>4</v>
      </c>
      <c r="T166">
        <v>9</v>
      </c>
      <c r="U166">
        <v>-2</v>
      </c>
      <c r="V166">
        <v>11</v>
      </c>
      <c r="W166">
        <v>-5</v>
      </c>
      <c r="X166">
        <v>4</v>
      </c>
      <c r="Y166">
        <v>-3</v>
      </c>
      <c r="Z166" t="s">
        <v>36</v>
      </c>
      <c r="AA166" t="s">
        <v>36</v>
      </c>
      <c r="AB166" t="s">
        <v>36</v>
      </c>
      <c r="AC166" t="s">
        <v>36</v>
      </c>
      <c r="AD166" t="s">
        <v>36</v>
      </c>
      <c r="AE166" t="s">
        <v>892</v>
      </c>
      <c r="AF166" t="s">
        <v>63</v>
      </c>
      <c r="AG166" s="1" t="s">
        <v>893</v>
      </c>
    </row>
    <row r="167" spans="1:33" ht="15" customHeight="1" x14ac:dyDescent="0.25">
      <c r="A167" t="s">
        <v>894</v>
      </c>
      <c r="B167" t="s">
        <v>894</v>
      </c>
      <c r="C167">
        <v>1</v>
      </c>
      <c r="D167" t="s">
        <v>669</v>
      </c>
      <c r="E167" t="s">
        <v>120</v>
      </c>
      <c r="F167" t="s">
        <v>121</v>
      </c>
      <c r="G167" t="s">
        <v>122</v>
      </c>
      <c r="H167">
        <v>13</v>
      </c>
      <c r="I167">
        <v>3</v>
      </c>
      <c r="J167" t="s">
        <v>895</v>
      </c>
      <c r="K167">
        <v>25</v>
      </c>
      <c r="L167" t="s">
        <v>210</v>
      </c>
      <c r="M167">
        <v>40</v>
      </c>
      <c r="N167">
        <v>5</v>
      </c>
      <c r="O167">
        <v>17</v>
      </c>
      <c r="P167">
        <v>10</v>
      </c>
      <c r="Q167">
        <v>7</v>
      </c>
      <c r="R167">
        <v>10</v>
      </c>
      <c r="S167">
        <v>10</v>
      </c>
      <c r="T167">
        <v>-3</v>
      </c>
      <c r="U167">
        <v>3</v>
      </c>
      <c r="V167">
        <v>0</v>
      </c>
      <c r="W167">
        <v>-2</v>
      </c>
      <c r="X167">
        <v>0</v>
      </c>
      <c r="Y167">
        <v>0</v>
      </c>
      <c r="Z167" t="s">
        <v>333</v>
      </c>
      <c r="AA167" t="s">
        <v>438</v>
      </c>
      <c r="AB167" t="s">
        <v>36</v>
      </c>
      <c r="AC167" t="s">
        <v>320</v>
      </c>
      <c r="AD167" t="s">
        <v>36</v>
      </c>
      <c r="AE167" t="s">
        <v>708</v>
      </c>
      <c r="AF167" t="s">
        <v>729</v>
      </c>
      <c r="AG167" s="1" t="s">
        <v>896</v>
      </c>
    </row>
    <row r="168" spans="1:33" ht="15" customHeight="1" x14ac:dyDescent="0.25">
      <c r="A168" t="s">
        <v>897</v>
      </c>
      <c r="B168" t="s">
        <v>897</v>
      </c>
      <c r="C168">
        <v>13</v>
      </c>
      <c r="D168" t="s">
        <v>56</v>
      </c>
      <c r="E168" t="s">
        <v>120</v>
      </c>
      <c r="F168" t="s">
        <v>36</v>
      </c>
      <c r="G168" t="s">
        <v>37</v>
      </c>
      <c r="H168">
        <v>17</v>
      </c>
      <c r="I168">
        <v>8</v>
      </c>
      <c r="J168" t="s">
        <v>898</v>
      </c>
      <c r="K168">
        <v>221</v>
      </c>
      <c r="L168" t="s">
        <v>210</v>
      </c>
      <c r="M168">
        <v>40</v>
      </c>
      <c r="N168">
        <v>14</v>
      </c>
      <c r="O168">
        <v>17</v>
      </c>
      <c r="P168">
        <v>18</v>
      </c>
      <c r="Q168">
        <v>13</v>
      </c>
      <c r="R168">
        <v>16</v>
      </c>
      <c r="S168">
        <v>20</v>
      </c>
      <c r="T168">
        <v>2</v>
      </c>
      <c r="U168">
        <v>3</v>
      </c>
      <c r="V168">
        <v>4</v>
      </c>
      <c r="W168">
        <v>1</v>
      </c>
      <c r="X168">
        <v>3</v>
      </c>
      <c r="Y168">
        <v>5</v>
      </c>
      <c r="Z168" t="s">
        <v>899</v>
      </c>
      <c r="AA168" t="s">
        <v>36</v>
      </c>
      <c r="AB168" t="s">
        <v>900</v>
      </c>
      <c r="AC168" t="s">
        <v>901</v>
      </c>
      <c r="AD168" t="s">
        <v>36</v>
      </c>
      <c r="AE168" t="s">
        <v>902</v>
      </c>
      <c r="AF168" t="s">
        <v>690</v>
      </c>
      <c r="AG168" s="1" t="s">
        <v>903</v>
      </c>
    </row>
    <row r="169" spans="1:33" ht="15" customHeight="1" x14ac:dyDescent="0.25">
      <c r="A169" t="s">
        <v>904</v>
      </c>
      <c r="B169" t="s">
        <v>905</v>
      </c>
      <c r="C169">
        <v>4</v>
      </c>
      <c r="D169" t="s">
        <v>56</v>
      </c>
      <c r="E169" t="s">
        <v>174</v>
      </c>
      <c r="F169" t="s">
        <v>175</v>
      </c>
      <c r="G169" t="s">
        <v>122</v>
      </c>
      <c r="H169">
        <v>17</v>
      </c>
      <c r="I169">
        <v>2</v>
      </c>
      <c r="J169" t="s">
        <v>635</v>
      </c>
      <c r="K169">
        <v>75</v>
      </c>
      <c r="L169" t="s">
        <v>357</v>
      </c>
      <c r="M169">
        <v>30</v>
      </c>
      <c r="N169">
        <v>19</v>
      </c>
      <c r="O169">
        <v>10</v>
      </c>
      <c r="P169">
        <v>17</v>
      </c>
      <c r="Q169">
        <v>12</v>
      </c>
      <c r="R169">
        <v>11</v>
      </c>
      <c r="S169">
        <v>15</v>
      </c>
      <c r="T169">
        <v>4</v>
      </c>
      <c r="U169">
        <v>2</v>
      </c>
      <c r="V169">
        <v>3</v>
      </c>
      <c r="W169">
        <v>1</v>
      </c>
      <c r="X169">
        <v>2</v>
      </c>
      <c r="Y169">
        <v>2</v>
      </c>
      <c r="Z169" t="s">
        <v>219</v>
      </c>
      <c r="AA169" t="s">
        <v>36</v>
      </c>
      <c r="AB169" t="s">
        <v>36</v>
      </c>
      <c r="AC169" t="s">
        <v>98</v>
      </c>
      <c r="AD169" t="s">
        <v>36</v>
      </c>
      <c r="AE169" t="s">
        <v>179</v>
      </c>
      <c r="AF169" t="s">
        <v>165</v>
      </c>
      <c r="AG169" s="1" t="s">
        <v>906</v>
      </c>
    </row>
    <row r="170" spans="1:33" ht="15" customHeight="1" x14ac:dyDescent="0.25">
      <c r="A170" t="s">
        <v>907</v>
      </c>
      <c r="B170" t="s">
        <v>905</v>
      </c>
      <c r="C170">
        <v>10</v>
      </c>
      <c r="D170" t="s">
        <v>34</v>
      </c>
      <c r="E170" t="s">
        <v>174</v>
      </c>
      <c r="F170" t="s">
        <v>175</v>
      </c>
      <c r="G170" t="s">
        <v>122</v>
      </c>
      <c r="H170">
        <v>18</v>
      </c>
      <c r="I170">
        <v>4</v>
      </c>
      <c r="J170" t="s">
        <v>567</v>
      </c>
      <c r="K170">
        <v>178</v>
      </c>
      <c r="L170" t="s">
        <v>362</v>
      </c>
      <c r="M170">
        <v>40</v>
      </c>
      <c r="N170">
        <v>23</v>
      </c>
      <c r="O170">
        <v>10</v>
      </c>
      <c r="P170">
        <v>21</v>
      </c>
      <c r="Q170">
        <v>14</v>
      </c>
      <c r="R170">
        <v>11</v>
      </c>
      <c r="S170">
        <v>19</v>
      </c>
      <c r="T170">
        <v>6</v>
      </c>
      <c r="U170">
        <v>4</v>
      </c>
      <c r="V170">
        <v>5</v>
      </c>
      <c r="W170">
        <v>2</v>
      </c>
      <c r="X170">
        <v>4</v>
      </c>
      <c r="Y170">
        <v>4</v>
      </c>
      <c r="Z170" t="s">
        <v>908</v>
      </c>
      <c r="AA170" t="s">
        <v>36</v>
      </c>
      <c r="AB170" t="s">
        <v>36</v>
      </c>
      <c r="AC170" t="s">
        <v>98</v>
      </c>
      <c r="AD170" t="s">
        <v>36</v>
      </c>
      <c r="AE170" t="s">
        <v>909</v>
      </c>
      <c r="AF170" t="s">
        <v>186</v>
      </c>
      <c r="AG170" s="1" t="s">
        <v>910</v>
      </c>
    </row>
    <row r="171" spans="1:33" ht="15" customHeight="1" x14ac:dyDescent="0.25">
      <c r="A171" t="s">
        <v>911</v>
      </c>
      <c r="B171" t="s">
        <v>905</v>
      </c>
      <c r="C171">
        <v>17</v>
      </c>
      <c r="D171" t="s">
        <v>103</v>
      </c>
      <c r="E171" t="s">
        <v>174</v>
      </c>
      <c r="F171" t="s">
        <v>175</v>
      </c>
      <c r="G171" t="s">
        <v>122</v>
      </c>
      <c r="H171">
        <v>19</v>
      </c>
      <c r="I171">
        <v>12</v>
      </c>
      <c r="J171" t="s">
        <v>912</v>
      </c>
      <c r="K171">
        <v>256</v>
      </c>
      <c r="L171" t="s">
        <v>362</v>
      </c>
      <c r="M171">
        <v>40</v>
      </c>
      <c r="N171">
        <v>27</v>
      </c>
      <c r="O171">
        <v>10</v>
      </c>
      <c r="P171">
        <v>25</v>
      </c>
      <c r="Q171">
        <v>16</v>
      </c>
      <c r="R171">
        <v>13</v>
      </c>
      <c r="S171">
        <v>23</v>
      </c>
      <c r="T171">
        <v>8</v>
      </c>
      <c r="U171">
        <v>6</v>
      </c>
      <c r="V171">
        <v>7</v>
      </c>
      <c r="W171">
        <v>3</v>
      </c>
      <c r="X171">
        <v>7</v>
      </c>
      <c r="Y171">
        <v>6</v>
      </c>
      <c r="Z171" t="s">
        <v>913</v>
      </c>
      <c r="AA171" t="s">
        <v>36</v>
      </c>
      <c r="AB171" t="s">
        <v>36</v>
      </c>
      <c r="AC171" t="s">
        <v>98</v>
      </c>
      <c r="AD171" t="s">
        <v>36</v>
      </c>
      <c r="AE171" t="s">
        <v>914</v>
      </c>
      <c r="AF171" t="s">
        <v>186</v>
      </c>
      <c r="AG171" s="1" t="s">
        <v>915</v>
      </c>
    </row>
    <row r="172" spans="1:33" ht="15" customHeight="1" x14ac:dyDescent="0.25">
      <c r="A172" t="s">
        <v>916</v>
      </c>
      <c r="B172" t="s">
        <v>905</v>
      </c>
      <c r="C172">
        <v>24</v>
      </c>
      <c r="D172" t="s">
        <v>194</v>
      </c>
      <c r="E172" t="s">
        <v>174</v>
      </c>
      <c r="F172" t="s">
        <v>175</v>
      </c>
      <c r="G172" t="s">
        <v>122</v>
      </c>
      <c r="H172">
        <v>22</v>
      </c>
      <c r="I172">
        <v>14</v>
      </c>
      <c r="J172" t="s">
        <v>917</v>
      </c>
      <c r="K172">
        <v>507</v>
      </c>
      <c r="L172" t="s">
        <v>362</v>
      </c>
      <c r="M172">
        <v>40</v>
      </c>
      <c r="N172">
        <v>30</v>
      </c>
      <c r="O172">
        <v>10</v>
      </c>
      <c r="P172">
        <v>29</v>
      </c>
      <c r="Q172">
        <v>18</v>
      </c>
      <c r="R172">
        <v>15</v>
      </c>
      <c r="S172">
        <v>27</v>
      </c>
      <c r="T172">
        <v>10</v>
      </c>
      <c r="U172">
        <v>7</v>
      </c>
      <c r="V172">
        <v>9</v>
      </c>
      <c r="W172">
        <v>4</v>
      </c>
      <c r="X172">
        <v>9</v>
      </c>
      <c r="Y172">
        <v>8</v>
      </c>
      <c r="Z172" t="s">
        <v>918</v>
      </c>
      <c r="AA172" t="s">
        <v>36</v>
      </c>
      <c r="AB172" t="s">
        <v>36</v>
      </c>
      <c r="AC172" t="s">
        <v>98</v>
      </c>
      <c r="AD172" t="s">
        <v>36</v>
      </c>
      <c r="AE172" t="s">
        <v>197</v>
      </c>
      <c r="AF172" t="s">
        <v>186</v>
      </c>
      <c r="AG172" s="1" t="s">
        <v>919</v>
      </c>
    </row>
    <row r="173" spans="1:33" ht="15" customHeight="1" x14ac:dyDescent="0.25">
      <c r="A173" t="s">
        <v>920</v>
      </c>
      <c r="B173" t="s">
        <v>920</v>
      </c>
      <c r="C173">
        <v>11</v>
      </c>
      <c r="D173" t="s">
        <v>103</v>
      </c>
      <c r="E173" t="s">
        <v>76</v>
      </c>
      <c r="F173" t="s">
        <v>36</v>
      </c>
      <c r="G173" t="s">
        <v>58</v>
      </c>
      <c r="H173">
        <v>17</v>
      </c>
      <c r="I173">
        <v>5</v>
      </c>
      <c r="J173" t="s">
        <v>189</v>
      </c>
      <c r="K173">
        <v>195</v>
      </c>
      <c r="L173" t="s">
        <v>921</v>
      </c>
      <c r="M173">
        <v>40</v>
      </c>
      <c r="N173">
        <v>24</v>
      </c>
      <c r="O173">
        <v>13</v>
      </c>
      <c r="P173">
        <v>21</v>
      </c>
      <c r="Q173">
        <v>4</v>
      </c>
      <c r="R173">
        <v>10</v>
      </c>
      <c r="S173">
        <v>5</v>
      </c>
      <c r="T173">
        <v>7</v>
      </c>
      <c r="U173">
        <v>1</v>
      </c>
      <c r="V173">
        <v>5</v>
      </c>
      <c r="W173">
        <v>-3</v>
      </c>
      <c r="X173">
        <v>0</v>
      </c>
      <c r="Y173">
        <v>-3</v>
      </c>
      <c r="Z173" t="s">
        <v>36</v>
      </c>
      <c r="AA173" t="s">
        <v>36</v>
      </c>
      <c r="AB173" t="s">
        <v>36</v>
      </c>
      <c r="AC173" t="s">
        <v>821</v>
      </c>
      <c r="AD173" t="s">
        <v>36</v>
      </c>
      <c r="AE173" t="s">
        <v>461</v>
      </c>
      <c r="AF173" t="s">
        <v>63</v>
      </c>
      <c r="AG173" s="1" t="s">
        <v>922</v>
      </c>
    </row>
    <row r="174" spans="1:33" ht="15" customHeight="1" x14ac:dyDescent="0.25">
      <c r="A174" t="s">
        <v>923</v>
      </c>
      <c r="B174" t="s">
        <v>923</v>
      </c>
      <c r="C174">
        <v>11</v>
      </c>
      <c r="D174" t="s">
        <v>194</v>
      </c>
      <c r="E174" t="s">
        <v>76</v>
      </c>
      <c r="F174" t="s">
        <v>36</v>
      </c>
      <c r="G174" t="s">
        <v>58</v>
      </c>
      <c r="H174">
        <v>15</v>
      </c>
      <c r="I174">
        <v>8</v>
      </c>
      <c r="J174" t="s">
        <v>924</v>
      </c>
      <c r="K174">
        <v>248</v>
      </c>
      <c r="L174" t="s">
        <v>925</v>
      </c>
      <c r="M174">
        <v>20</v>
      </c>
      <c r="N174">
        <v>28</v>
      </c>
      <c r="O174">
        <v>10</v>
      </c>
      <c r="P174">
        <v>20</v>
      </c>
      <c r="Q174">
        <v>3</v>
      </c>
      <c r="R174">
        <v>10</v>
      </c>
      <c r="S174">
        <v>9</v>
      </c>
      <c r="T174">
        <v>9</v>
      </c>
      <c r="U174">
        <v>4</v>
      </c>
      <c r="V174">
        <v>5</v>
      </c>
      <c r="W174">
        <v>-4</v>
      </c>
      <c r="X174">
        <v>4</v>
      </c>
      <c r="Y174">
        <v>-1</v>
      </c>
      <c r="Z174" t="s">
        <v>312</v>
      </c>
      <c r="AA174" t="s">
        <v>36</v>
      </c>
      <c r="AB174" t="s">
        <v>36</v>
      </c>
      <c r="AC174" t="s">
        <v>36</v>
      </c>
      <c r="AD174" t="s">
        <v>36</v>
      </c>
      <c r="AE174" t="s">
        <v>926</v>
      </c>
      <c r="AF174" t="s">
        <v>63</v>
      </c>
      <c r="AG174" s="1" t="s">
        <v>927</v>
      </c>
    </row>
    <row r="175" spans="1:33" ht="15" customHeight="1" x14ac:dyDescent="0.25">
      <c r="A175" t="s">
        <v>928</v>
      </c>
      <c r="B175" t="s">
        <v>928</v>
      </c>
      <c r="C175">
        <v>5</v>
      </c>
      <c r="D175" t="s">
        <v>34</v>
      </c>
      <c r="E175" t="s">
        <v>35</v>
      </c>
      <c r="F175" t="s">
        <v>36</v>
      </c>
      <c r="G175" t="s">
        <v>159</v>
      </c>
      <c r="H175">
        <v>20</v>
      </c>
      <c r="I175">
        <v>5</v>
      </c>
      <c r="J175" t="s">
        <v>482</v>
      </c>
      <c r="K175">
        <v>93</v>
      </c>
      <c r="L175" t="s">
        <v>929</v>
      </c>
      <c r="M175">
        <v>10</v>
      </c>
      <c r="N175">
        <v>18</v>
      </c>
      <c r="O175">
        <v>8</v>
      </c>
      <c r="P175">
        <v>17</v>
      </c>
      <c r="Q175">
        <v>7</v>
      </c>
      <c r="R175">
        <v>16</v>
      </c>
      <c r="S175">
        <v>6</v>
      </c>
      <c r="T175">
        <v>4</v>
      </c>
      <c r="U175">
        <v>-1</v>
      </c>
      <c r="V175">
        <v>3</v>
      </c>
      <c r="W175">
        <v>-2</v>
      </c>
      <c r="X175">
        <v>3</v>
      </c>
      <c r="Y175">
        <v>-2</v>
      </c>
      <c r="Z175" t="s">
        <v>184</v>
      </c>
      <c r="AA175" t="s">
        <v>36</v>
      </c>
      <c r="AB175" t="s">
        <v>36</v>
      </c>
      <c r="AC175" t="s">
        <v>36</v>
      </c>
      <c r="AD175" t="s">
        <v>36</v>
      </c>
      <c r="AE175" t="s">
        <v>679</v>
      </c>
      <c r="AF175" t="s">
        <v>63</v>
      </c>
      <c r="AG175" s="1" t="s">
        <v>930</v>
      </c>
    </row>
    <row r="176" spans="1:33" ht="15" customHeight="1" x14ac:dyDescent="0.25">
      <c r="A176" t="s">
        <v>931</v>
      </c>
      <c r="B176" t="s">
        <v>931</v>
      </c>
      <c r="C176">
        <v>0.5</v>
      </c>
      <c r="D176" t="s">
        <v>56</v>
      </c>
      <c r="E176" t="s">
        <v>76</v>
      </c>
      <c r="F176" t="s">
        <v>36</v>
      </c>
      <c r="G176" t="s">
        <v>58</v>
      </c>
      <c r="H176">
        <v>14</v>
      </c>
      <c r="I176">
        <v>1</v>
      </c>
      <c r="J176" t="s">
        <v>59</v>
      </c>
      <c r="K176">
        <v>33</v>
      </c>
      <c r="L176" t="s">
        <v>210</v>
      </c>
      <c r="M176">
        <v>40</v>
      </c>
      <c r="N176">
        <v>13</v>
      </c>
      <c r="O176">
        <v>12</v>
      </c>
      <c r="P176">
        <v>13</v>
      </c>
      <c r="Q176">
        <v>2</v>
      </c>
      <c r="R176">
        <v>13</v>
      </c>
      <c r="S176">
        <v>6</v>
      </c>
      <c r="T176">
        <v>1</v>
      </c>
      <c r="U176">
        <v>1</v>
      </c>
      <c r="V176">
        <v>1</v>
      </c>
      <c r="W176">
        <v>-4</v>
      </c>
      <c r="X176">
        <v>1</v>
      </c>
      <c r="Y176">
        <v>-2</v>
      </c>
      <c r="Z176" t="s">
        <v>36</v>
      </c>
      <c r="AA176" t="s">
        <v>36</v>
      </c>
      <c r="AB176" t="s">
        <v>36</v>
      </c>
      <c r="AC176" t="s">
        <v>36</v>
      </c>
      <c r="AD176" t="s">
        <v>36</v>
      </c>
      <c r="AE176" t="s">
        <v>283</v>
      </c>
      <c r="AF176" t="s">
        <v>63</v>
      </c>
      <c r="AG176" s="1" t="s">
        <v>932</v>
      </c>
    </row>
    <row r="177" spans="1:33" ht="15" customHeight="1" x14ac:dyDescent="0.25">
      <c r="A177" t="s">
        <v>933</v>
      </c>
      <c r="B177" t="s">
        <v>934</v>
      </c>
      <c r="C177">
        <v>0.5</v>
      </c>
      <c r="D177" t="s">
        <v>56</v>
      </c>
      <c r="E177" t="s">
        <v>120</v>
      </c>
      <c r="F177" t="s">
        <v>36</v>
      </c>
      <c r="G177" t="s">
        <v>37</v>
      </c>
      <c r="H177">
        <v>12</v>
      </c>
      <c r="I177">
        <v>0</v>
      </c>
      <c r="J177" t="s">
        <v>209</v>
      </c>
      <c r="K177">
        <v>22</v>
      </c>
      <c r="L177" t="s">
        <v>935</v>
      </c>
      <c r="M177">
        <v>30</v>
      </c>
      <c r="N177">
        <v>13</v>
      </c>
      <c r="O177">
        <v>11</v>
      </c>
      <c r="P177">
        <v>12</v>
      </c>
      <c r="Q177">
        <v>12</v>
      </c>
      <c r="R177">
        <v>13</v>
      </c>
      <c r="S177">
        <v>9</v>
      </c>
      <c r="T177">
        <v>1</v>
      </c>
      <c r="U177">
        <v>0</v>
      </c>
      <c r="V177">
        <v>1</v>
      </c>
      <c r="W177">
        <v>1</v>
      </c>
      <c r="X177">
        <v>1</v>
      </c>
      <c r="Y177">
        <v>-1</v>
      </c>
      <c r="Z177" t="s">
        <v>617</v>
      </c>
      <c r="AA177" t="s">
        <v>936</v>
      </c>
      <c r="AB177" t="s">
        <v>36</v>
      </c>
      <c r="AC177" t="s">
        <v>36</v>
      </c>
      <c r="AD177" t="s">
        <v>36</v>
      </c>
      <c r="AE177" t="s">
        <v>408</v>
      </c>
      <c r="AF177" t="s">
        <v>934</v>
      </c>
      <c r="AG177" s="1" t="s">
        <v>937</v>
      </c>
    </row>
    <row r="178" spans="1:33" ht="15" customHeight="1" x14ac:dyDescent="0.25">
      <c r="A178" t="s">
        <v>938</v>
      </c>
      <c r="B178" t="s">
        <v>938</v>
      </c>
      <c r="C178">
        <v>5</v>
      </c>
      <c r="D178" t="s">
        <v>34</v>
      </c>
      <c r="E178" t="s">
        <v>45</v>
      </c>
      <c r="F178" t="s">
        <v>36</v>
      </c>
      <c r="G178" t="s">
        <v>159</v>
      </c>
      <c r="H178">
        <v>15</v>
      </c>
      <c r="I178">
        <v>2</v>
      </c>
      <c r="J178" t="s">
        <v>47</v>
      </c>
      <c r="K178">
        <v>90</v>
      </c>
      <c r="L178" t="s">
        <v>144</v>
      </c>
      <c r="M178">
        <v>30</v>
      </c>
      <c r="N178">
        <v>18</v>
      </c>
      <c r="O178">
        <v>14</v>
      </c>
      <c r="P178">
        <v>15</v>
      </c>
      <c r="Q178">
        <v>11</v>
      </c>
      <c r="R178">
        <v>10</v>
      </c>
      <c r="S178">
        <v>12</v>
      </c>
      <c r="T178">
        <v>4</v>
      </c>
      <c r="U178">
        <v>2</v>
      </c>
      <c r="V178">
        <v>2</v>
      </c>
      <c r="W178">
        <v>0</v>
      </c>
      <c r="X178">
        <v>0</v>
      </c>
      <c r="Y178">
        <v>1</v>
      </c>
      <c r="Z178" t="s">
        <v>36</v>
      </c>
      <c r="AA178" t="s">
        <v>36</v>
      </c>
      <c r="AB178" t="s">
        <v>146</v>
      </c>
      <c r="AC178" t="s">
        <v>98</v>
      </c>
      <c r="AD178" t="s">
        <v>36</v>
      </c>
      <c r="AE178" t="s">
        <v>51</v>
      </c>
      <c r="AF178" t="s">
        <v>117</v>
      </c>
      <c r="AG178" s="1" t="s">
        <v>939</v>
      </c>
    </row>
    <row r="179" spans="1:33" ht="15" customHeight="1" x14ac:dyDescent="0.25">
      <c r="A179" t="s">
        <v>940</v>
      </c>
      <c r="B179" t="s">
        <v>940</v>
      </c>
      <c r="C179">
        <v>0.5</v>
      </c>
      <c r="D179" t="s">
        <v>56</v>
      </c>
      <c r="E179" t="s">
        <v>207</v>
      </c>
      <c r="F179" t="s">
        <v>36</v>
      </c>
      <c r="G179" t="s">
        <v>330</v>
      </c>
      <c r="H179">
        <v>13</v>
      </c>
      <c r="I179">
        <v>3</v>
      </c>
      <c r="J179" t="s">
        <v>941</v>
      </c>
      <c r="K179">
        <v>31</v>
      </c>
      <c r="L179" t="s">
        <v>210</v>
      </c>
      <c r="M179">
        <v>40</v>
      </c>
      <c r="N179">
        <v>12</v>
      </c>
      <c r="O179">
        <v>16</v>
      </c>
      <c r="P179">
        <v>11</v>
      </c>
      <c r="Q179">
        <v>12</v>
      </c>
      <c r="R179">
        <v>10</v>
      </c>
      <c r="S179">
        <v>14</v>
      </c>
      <c r="T179">
        <v>1</v>
      </c>
      <c r="U179">
        <v>3</v>
      </c>
      <c r="V179">
        <v>0</v>
      </c>
      <c r="W179">
        <v>1</v>
      </c>
      <c r="X179">
        <v>0</v>
      </c>
      <c r="Y179">
        <v>2</v>
      </c>
      <c r="Z179" t="s">
        <v>942</v>
      </c>
      <c r="AA179" t="s">
        <v>36</v>
      </c>
      <c r="AB179" t="s">
        <v>36</v>
      </c>
      <c r="AC179" t="s">
        <v>36</v>
      </c>
      <c r="AD179" t="s">
        <v>36</v>
      </c>
      <c r="AE179" t="s">
        <v>398</v>
      </c>
      <c r="AF179" t="s">
        <v>608</v>
      </c>
      <c r="AG179" s="1" t="s">
        <v>943</v>
      </c>
    </row>
    <row r="180" spans="1:33" ht="15" customHeight="1" x14ac:dyDescent="0.25">
      <c r="A180" t="s">
        <v>944</v>
      </c>
      <c r="B180" t="s">
        <v>944</v>
      </c>
      <c r="C180">
        <v>0.5</v>
      </c>
      <c r="D180" t="s">
        <v>82</v>
      </c>
      <c r="E180" t="s">
        <v>83</v>
      </c>
      <c r="F180" t="s">
        <v>36</v>
      </c>
      <c r="G180" t="s">
        <v>46</v>
      </c>
      <c r="H180">
        <v>13</v>
      </c>
      <c r="I180">
        <v>2</v>
      </c>
      <c r="J180" t="s">
        <v>945</v>
      </c>
      <c r="K180">
        <v>16</v>
      </c>
      <c r="L180" t="s">
        <v>85</v>
      </c>
      <c r="M180">
        <v>30</v>
      </c>
      <c r="N180">
        <v>11</v>
      </c>
      <c r="O180">
        <v>14</v>
      </c>
      <c r="P180">
        <v>12</v>
      </c>
      <c r="Q180">
        <v>11</v>
      </c>
      <c r="R180">
        <v>13</v>
      </c>
      <c r="S180">
        <v>11</v>
      </c>
      <c r="T180">
        <v>0</v>
      </c>
      <c r="U180">
        <v>2</v>
      </c>
      <c r="V180">
        <v>1</v>
      </c>
      <c r="W180">
        <v>0</v>
      </c>
      <c r="X180">
        <v>1</v>
      </c>
      <c r="Y180">
        <v>0</v>
      </c>
      <c r="Z180" t="s">
        <v>946</v>
      </c>
      <c r="AA180" t="s">
        <v>36</v>
      </c>
      <c r="AB180" t="s">
        <v>36</v>
      </c>
      <c r="AC180" t="s">
        <v>36</v>
      </c>
      <c r="AD180" t="s">
        <v>947</v>
      </c>
      <c r="AE180" t="s">
        <v>449</v>
      </c>
      <c r="AF180" t="s">
        <v>100</v>
      </c>
      <c r="AG180" s="1" t="s">
        <v>948</v>
      </c>
    </row>
    <row r="181" spans="1:33" ht="15" customHeight="1" x14ac:dyDescent="0.25">
      <c r="A181" t="s">
        <v>949</v>
      </c>
      <c r="B181" t="s">
        <v>949</v>
      </c>
      <c r="C181">
        <v>2</v>
      </c>
      <c r="D181" t="s">
        <v>56</v>
      </c>
      <c r="E181" t="s">
        <v>207</v>
      </c>
      <c r="F181" t="s">
        <v>36</v>
      </c>
      <c r="G181" t="s">
        <v>122</v>
      </c>
      <c r="H181">
        <v>14</v>
      </c>
      <c r="I181">
        <v>1</v>
      </c>
      <c r="J181" t="s">
        <v>532</v>
      </c>
      <c r="K181">
        <v>52</v>
      </c>
      <c r="L181" t="s">
        <v>935</v>
      </c>
      <c r="M181">
        <v>30</v>
      </c>
      <c r="N181">
        <v>16</v>
      </c>
      <c r="O181">
        <v>13</v>
      </c>
      <c r="P181">
        <v>16</v>
      </c>
      <c r="Q181">
        <v>12</v>
      </c>
      <c r="R181">
        <v>12</v>
      </c>
      <c r="S181">
        <v>13</v>
      </c>
      <c r="T181">
        <v>3</v>
      </c>
      <c r="U181">
        <v>1</v>
      </c>
      <c r="V181">
        <v>3</v>
      </c>
      <c r="W181">
        <v>1</v>
      </c>
      <c r="X181">
        <v>1</v>
      </c>
      <c r="Y181">
        <v>1</v>
      </c>
      <c r="Z181" t="s">
        <v>36</v>
      </c>
      <c r="AA181" t="s">
        <v>36</v>
      </c>
      <c r="AB181" t="s">
        <v>36</v>
      </c>
      <c r="AC181" t="s">
        <v>36</v>
      </c>
      <c r="AD181" t="s">
        <v>36</v>
      </c>
      <c r="AE181" t="s">
        <v>283</v>
      </c>
      <c r="AF181" t="s">
        <v>950</v>
      </c>
      <c r="AG181" s="1" t="s">
        <v>951</v>
      </c>
    </row>
    <row r="182" spans="1:33" ht="15" customHeight="1" x14ac:dyDescent="0.25">
      <c r="A182" t="s">
        <v>952</v>
      </c>
      <c r="B182" t="s">
        <v>952</v>
      </c>
      <c r="C182">
        <v>0.5</v>
      </c>
      <c r="D182" t="s">
        <v>56</v>
      </c>
      <c r="E182" t="s">
        <v>518</v>
      </c>
      <c r="F182" t="s">
        <v>36</v>
      </c>
      <c r="G182" t="s">
        <v>122</v>
      </c>
      <c r="H182">
        <v>12</v>
      </c>
      <c r="I182">
        <v>2</v>
      </c>
      <c r="J182" t="s">
        <v>953</v>
      </c>
      <c r="K182">
        <v>27</v>
      </c>
      <c r="L182" t="s">
        <v>210</v>
      </c>
      <c r="M182">
        <v>40</v>
      </c>
      <c r="N182">
        <v>6</v>
      </c>
      <c r="O182">
        <v>14</v>
      </c>
      <c r="P182">
        <v>13</v>
      </c>
      <c r="Q182">
        <v>6</v>
      </c>
      <c r="R182">
        <v>10</v>
      </c>
      <c r="S182">
        <v>8</v>
      </c>
      <c r="T182">
        <v>-2</v>
      </c>
      <c r="U182">
        <v>2</v>
      </c>
      <c r="V182">
        <v>1</v>
      </c>
      <c r="W182">
        <v>-2</v>
      </c>
      <c r="X182">
        <v>0</v>
      </c>
      <c r="Y182">
        <v>-1</v>
      </c>
      <c r="Z182" t="s">
        <v>553</v>
      </c>
      <c r="AA182" t="s">
        <v>954</v>
      </c>
      <c r="AB182" t="s">
        <v>415</v>
      </c>
      <c r="AC182" t="s">
        <v>955</v>
      </c>
      <c r="AD182" t="s">
        <v>36</v>
      </c>
      <c r="AE182" t="s">
        <v>51</v>
      </c>
      <c r="AF182" t="s">
        <v>63</v>
      </c>
      <c r="AG182" s="1" t="s">
        <v>956</v>
      </c>
    </row>
    <row r="183" spans="1:33" ht="15" customHeight="1" x14ac:dyDescent="0.25">
      <c r="A183" t="s">
        <v>957</v>
      </c>
      <c r="B183" t="s">
        <v>957</v>
      </c>
      <c r="C183">
        <v>5</v>
      </c>
      <c r="D183" t="s">
        <v>34</v>
      </c>
      <c r="E183" t="s">
        <v>94</v>
      </c>
      <c r="F183" t="s">
        <v>36</v>
      </c>
      <c r="G183" t="s">
        <v>58</v>
      </c>
      <c r="H183">
        <v>15</v>
      </c>
      <c r="I183">
        <v>-1</v>
      </c>
      <c r="J183" t="s">
        <v>251</v>
      </c>
      <c r="K183">
        <v>110</v>
      </c>
      <c r="L183" t="s">
        <v>958</v>
      </c>
      <c r="M183">
        <v>30</v>
      </c>
      <c r="N183">
        <v>18</v>
      </c>
      <c r="O183">
        <v>8</v>
      </c>
      <c r="P183">
        <v>16</v>
      </c>
      <c r="Q183">
        <v>5</v>
      </c>
      <c r="R183">
        <v>10</v>
      </c>
      <c r="S183">
        <v>5</v>
      </c>
      <c r="T183">
        <v>4</v>
      </c>
      <c r="U183">
        <v>-1</v>
      </c>
      <c r="V183">
        <v>3</v>
      </c>
      <c r="W183">
        <v>-3</v>
      </c>
      <c r="X183">
        <v>0</v>
      </c>
      <c r="Y183">
        <v>-3</v>
      </c>
      <c r="Z183" t="s">
        <v>402</v>
      </c>
      <c r="AA183" t="s">
        <v>821</v>
      </c>
      <c r="AB183" t="s">
        <v>36</v>
      </c>
      <c r="AC183" t="s">
        <v>959</v>
      </c>
      <c r="AD183" t="s">
        <v>36</v>
      </c>
      <c r="AE183" t="s">
        <v>403</v>
      </c>
      <c r="AF183" t="s">
        <v>63</v>
      </c>
      <c r="AG183" s="1" t="s">
        <v>960</v>
      </c>
    </row>
    <row r="184" spans="1:33" ht="15" customHeight="1" x14ac:dyDescent="0.25">
      <c r="A184" t="s">
        <v>961</v>
      </c>
      <c r="B184" t="s">
        <v>961</v>
      </c>
      <c r="C184">
        <v>7</v>
      </c>
      <c r="D184" t="s">
        <v>34</v>
      </c>
      <c r="E184" t="s">
        <v>57</v>
      </c>
      <c r="F184" t="s">
        <v>36</v>
      </c>
      <c r="G184" t="s">
        <v>58</v>
      </c>
      <c r="H184">
        <v>17</v>
      </c>
      <c r="I184">
        <v>-1</v>
      </c>
      <c r="J184" t="s">
        <v>267</v>
      </c>
      <c r="K184">
        <v>142</v>
      </c>
      <c r="L184" t="s">
        <v>85</v>
      </c>
      <c r="M184">
        <v>30</v>
      </c>
      <c r="N184">
        <v>18</v>
      </c>
      <c r="O184">
        <v>8</v>
      </c>
      <c r="P184">
        <v>18</v>
      </c>
      <c r="Q184">
        <v>7</v>
      </c>
      <c r="R184">
        <v>10</v>
      </c>
      <c r="S184">
        <v>3</v>
      </c>
      <c r="T184">
        <v>4</v>
      </c>
      <c r="U184">
        <v>-1</v>
      </c>
      <c r="V184">
        <v>4</v>
      </c>
      <c r="W184">
        <v>-2</v>
      </c>
      <c r="X184">
        <v>0</v>
      </c>
      <c r="Y184">
        <v>-4</v>
      </c>
      <c r="Z184" t="s">
        <v>36</v>
      </c>
      <c r="AA184" t="s">
        <v>36</v>
      </c>
      <c r="AB184" t="s">
        <v>36</v>
      </c>
      <c r="AC184" t="s">
        <v>962</v>
      </c>
      <c r="AD184" t="s">
        <v>36</v>
      </c>
      <c r="AE184" t="s">
        <v>963</v>
      </c>
      <c r="AF184" t="s">
        <v>964</v>
      </c>
      <c r="AG184" s="1" t="s">
        <v>965</v>
      </c>
    </row>
    <row r="185" spans="1:33" ht="15" customHeight="1" x14ac:dyDescent="0.25">
      <c r="A185" t="s">
        <v>966</v>
      </c>
      <c r="B185" t="s">
        <v>967</v>
      </c>
      <c r="C185">
        <v>2</v>
      </c>
      <c r="D185" t="s">
        <v>56</v>
      </c>
      <c r="E185" t="s">
        <v>174</v>
      </c>
      <c r="F185" t="s">
        <v>247</v>
      </c>
      <c r="G185" t="s">
        <v>208</v>
      </c>
      <c r="H185">
        <v>17</v>
      </c>
      <c r="I185">
        <v>2</v>
      </c>
      <c r="J185" t="s">
        <v>968</v>
      </c>
      <c r="K185">
        <v>45</v>
      </c>
      <c r="L185" t="s">
        <v>311</v>
      </c>
      <c r="M185">
        <v>30</v>
      </c>
      <c r="N185">
        <v>19</v>
      </c>
      <c r="O185">
        <v>10</v>
      </c>
      <c r="P185">
        <v>17</v>
      </c>
      <c r="Q185">
        <v>12</v>
      </c>
      <c r="R185">
        <v>11</v>
      </c>
      <c r="S185">
        <v>15</v>
      </c>
      <c r="T185">
        <v>4</v>
      </c>
      <c r="U185">
        <v>2</v>
      </c>
      <c r="V185">
        <v>3</v>
      </c>
      <c r="W185">
        <v>1</v>
      </c>
      <c r="X185">
        <v>2</v>
      </c>
      <c r="Y185">
        <v>2</v>
      </c>
      <c r="Z185" t="s">
        <v>219</v>
      </c>
      <c r="AA185" t="s">
        <v>36</v>
      </c>
      <c r="AB185" t="s">
        <v>36</v>
      </c>
      <c r="AC185" t="s">
        <v>146</v>
      </c>
      <c r="AD185" t="s">
        <v>36</v>
      </c>
      <c r="AE185" t="s">
        <v>179</v>
      </c>
      <c r="AF185" t="s">
        <v>165</v>
      </c>
      <c r="AG185" s="1" t="s">
        <v>969</v>
      </c>
    </row>
    <row r="186" spans="1:33" ht="15" customHeight="1" x14ac:dyDescent="0.25">
      <c r="A186" t="s">
        <v>970</v>
      </c>
      <c r="B186" t="s">
        <v>967</v>
      </c>
      <c r="C186">
        <v>9</v>
      </c>
      <c r="D186" t="s">
        <v>34</v>
      </c>
      <c r="E186" t="s">
        <v>174</v>
      </c>
      <c r="F186" t="s">
        <v>247</v>
      </c>
      <c r="G186" t="s">
        <v>208</v>
      </c>
      <c r="H186">
        <v>18</v>
      </c>
      <c r="I186">
        <v>4</v>
      </c>
      <c r="J186" t="s">
        <v>971</v>
      </c>
      <c r="K186">
        <v>168</v>
      </c>
      <c r="L186" t="s">
        <v>124</v>
      </c>
      <c r="M186">
        <v>40</v>
      </c>
      <c r="N186">
        <v>23</v>
      </c>
      <c r="O186">
        <v>10</v>
      </c>
      <c r="P186">
        <v>21</v>
      </c>
      <c r="Q186">
        <v>14</v>
      </c>
      <c r="R186">
        <v>11</v>
      </c>
      <c r="S186">
        <v>19</v>
      </c>
      <c r="T186">
        <v>6</v>
      </c>
      <c r="U186">
        <v>4</v>
      </c>
      <c r="V186">
        <v>5</v>
      </c>
      <c r="W186">
        <v>2</v>
      </c>
      <c r="X186">
        <v>4</v>
      </c>
      <c r="Y186">
        <v>4</v>
      </c>
      <c r="Z186" t="s">
        <v>972</v>
      </c>
      <c r="AA186" t="s">
        <v>36</v>
      </c>
      <c r="AB186" t="s">
        <v>36</v>
      </c>
      <c r="AC186" t="s">
        <v>146</v>
      </c>
      <c r="AD186" t="s">
        <v>36</v>
      </c>
      <c r="AE186" t="s">
        <v>909</v>
      </c>
      <c r="AF186" t="s">
        <v>186</v>
      </c>
      <c r="AG186" s="1" t="s">
        <v>973</v>
      </c>
    </row>
    <row r="187" spans="1:33" ht="15" customHeight="1" x14ac:dyDescent="0.25">
      <c r="A187" t="s">
        <v>974</v>
      </c>
      <c r="B187" t="s">
        <v>967</v>
      </c>
      <c r="C187">
        <v>16</v>
      </c>
      <c r="D187" t="s">
        <v>103</v>
      </c>
      <c r="E187" t="s">
        <v>174</v>
      </c>
      <c r="F187" t="s">
        <v>247</v>
      </c>
      <c r="G187" t="s">
        <v>208</v>
      </c>
      <c r="H187">
        <v>19</v>
      </c>
      <c r="I187">
        <v>10</v>
      </c>
      <c r="J187" t="s">
        <v>975</v>
      </c>
      <c r="K187">
        <v>216</v>
      </c>
      <c r="L187" t="s">
        <v>124</v>
      </c>
      <c r="M187">
        <v>40</v>
      </c>
      <c r="N187">
        <v>27</v>
      </c>
      <c r="O187">
        <v>10</v>
      </c>
      <c r="P187">
        <v>25</v>
      </c>
      <c r="Q187">
        <v>16</v>
      </c>
      <c r="R187">
        <v>13</v>
      </c>
      <c r="S187">
        <v>22</v>
      </c>
      <c r="T187">
        <v>8</v>
      </c>
      <c r="U187">
        <v>5</v>
      </c>
      <c r="V187">
        <v>7</v>
      </c>
      <c r="W187">
        <v>3</v>
      </c>
      <c r="X187">
        <v>6</v>
      </c>
      <c r="Y187">
        <v>6</v>
      </c>
      <c r="Z187" t="s">
        <v>976</v>
      </c>
      <c r="AA187" t="s">
        <v>36</v>
      </c>
      <c r="AB187" t="s">
        <v>36</v>
      </c>
      <c r="AC187" t="s">
        <v>146</v>
      </c>
      <c r="AD187" t="s">
        <v>36</v>
      </c>
      <c r="AE187" t="s">
        <v>191</v>
      </c>
      <c r="AF187" t="s">
        <v>186</v>
      </c>
      <c r="AG187" s="1" t="s">
        <v>977</v>
      </c>
    </row>
    <row r="188" spans="1:33" ht="15" customHeight="1" x14ac:dyDescent="0.25">
      <c r="A188" t="s">
        <v>978</v>
      </c>
      <c r="B188" t="s">
        <v>967</v>
      </c>
      <c r="C188">
        <v>23</v>
      </c>
      <c r="D188" t="s">
        <v>194</v>
      </c>
      <c r="E188" t="s">
        <v>174</v>
      </c>
      <c r="F188" t="s">
        <v>247</v>
      </c>
      <c r="G188" t="s">
        <v>208</v>
      </c>
      <c r="H188">
        <v>22</v>
      </c>
      <c r="I188">
        <v>14</v>
      </c>
      <c r="J188" t="s">
        <v>979</v>
      </c>
      <c r="K188">
        <v>468</v>
      </c>
      <c r="L188" t="s">
        <v>124</v>
      </c>
      <c r="M188">
        <v>40</v>
      </c>
      <c r="N188">
        <v>30</v>
      </c>
      <c r="O188">
        <v>10</v>
      </c>
      <c r="P188">
        <v>29</v>
      </c>
      <c r="Q188">
        <v>18</v>
      </c>
      <c r="R188">
        <v>15</v>
      </c>
      <c r="S188">
        <v>26</v>
      </c>
      <c r="T188">
        <v>10</v>
      </c>
      <c r="U188">
        <v>7</v>
      </c>
      <c r="V188">
        <v>9</v>
      </c>
      <c r="W188">
        <v>4</v>
      </c>
      <c r="X188">
        <v>9</v>
      </c>
      <c r="Y188">
        <v>8</v>
      </c>
      <c r="Z188" t="s">
        <v>980</v>
      </c>
      <c r="AA188" t="s">
        <v>36</v>
      </c>
      <c r="AB188" t="s">
        <v>36</v>
      </c>
      <c r="AC188" t="s">
        <v>146</v>
      </c>
      <c r="AD188" t="s">
        <v>36</v>
      </c>
      <c r="AE188" t="s">
        <v>197</v>
      </c>
      <c r="AF188" t="s">
        <v>186</v>
      </c>
      <c r="AG188" s="1" t="s">
        <v>981</v>
      </c>
    </row>
    <row r="189" spans="1:33" ht="15" customHeight="1" x14ac:dyDescent="0.25">
      <c r="A189" t="s">
        <v>982</v>
      </c>
      <c r="B189" t="s">
        <v>983</v>
      </c>
      <c r="C189">
        <v>0.25</v>
      </c>
      <c r="D189" t="s">
        <v>56</v>
      </c>
      <c r="E189" t="s">
        <v>518</v>
      </c>
      <c r="F189" t="s">
        <v>36</v>
      </c>
      <c r="G189" t="s">
        <v>37</v>
      </c>
      <c r="H189">
        <v>14</v>
      </c>
      <c r="I189">
        <v>3</v>
      </c>
      <c r="J189" t="s">
        <v>984</v>
      </c>
      <c r="K189">
        <v>13</v>
      </c>
      <c r="L189" t="s">
        <v>85</v>
      </c>
      <c r="M189">
        <v>30</v>
      </c>
      <c r="N189">
        <v>10</v>
      </c>
      <c r="O189">
        <v>16</v>
      </c>
      <c r="P189">
        <v>15</v>
      </c>
      <c r="Q189">
        <v>6</v>
      </c>
      <c r="R189">
        <v>8</v>
      </c>
      <c r="S189">
        <v>5</v>
      </c>
      <c r="T189">
        <v>0</v>
      </c>
      <c r="U189">
        <v>3</v>
      </c>
      <c r="V189">
        <v>2</v>
      </c>
      <c r="W189">
        <v>-2</v>
      </c>
      <c r="X189">
        <v>-1</v>
      </c>
      <c r="Y189">
        <v>-3</v>
      </c>
      <c r="Z189" t="s">
        <v>36</v>
      </c>
      <c r="AA189" t="s">
        <v>36</v>
      </c>
      <c r="AB189" t="s">
        <v>985</v>
      </c>
      <c r="AC189" t="s">
        <v>774</v>
      </c>
      <c r="AD189" t="s">
        <v>986</v>
      </c>
      <c r="AE189" t="s">
        <v>151</v>
      </c>
      <c r="AF189" t="s">
        <v>492</v>
      </c>
      <c r="AG189" s="1" t="s">
        <v>987</v>
      </c>
    </row>
    <row r="190" spans="1:33" ht="15" customHeight="1" x14ac:dyDescent="0.25">
      <c r="A190" t="s">
        <v>988</v>
      </c>
      <c r="B190" t="s">
        <v>983</v>
      </c>
      <c r="C190">
        <v>0.5</v>
      </c>
      <c r="D190" t="s">
        <v>34</v>
      </c>
      <c r="E190" t="s">
        <v>518</v>
      </c>
      <c r="F190" t="s">
        <v>36</v>
      </c>
      <c r="G190" t="s">
        <v>37</v>
      </c>
      <c r="H190">
        <v>13</v>
      </c>
      <c r="I190">
        <v>1</v>
      </c>
      <c r="J190" t="s">
        <v>989</v>
      </c>
      <c r="K190">
        <v>22</v>
      </c>
      <c r="L190" t="s">
        <v>990</v>
      </c>
      <c r="M190">
        <v>60</v>
      </c>
      <c r="N190">
        <v>18</v>
      </c>
      <c r="O190">
        <v>12</v>
      </c>
      <c r="P190">
        <v>15</v>
      </c>
      <c r="Q190">
        <v>2</v>
      </c>
      <c r="R190">
        <v>8</v>
      </c>
      <c r="S190">
        <v>5</v>
      </c>
      <c r="T190">
        <v>4</v>
      </c>
      <c r="U190">
        <v>1</v>
      </c>
      <c r="V190">
        <v>2</v>
      </c>
      <c r="W190">
        <v>-4</v>
      </c>
      <c r="X190">
        <v>-1</v>
      </c>
      <c r="Y190">
        <v>-3</v>
      </c>
      <c r="Z190" t="s">
        <v>36</v>
      </c>
      <c r="AA190" t="s">
        <v>36</v>
      </c>
      <c r="AB190" t="s">
        <v>985</v>
      </c>
      <c r="AC190" t="s">
        <v>774</v>
      </c>
      <c r="AD190" t="s">
        <v>36</v>
      </c>
      <c r="AE190" t="s">
        <v>151</v>
      </c>
      <c r="AF190" t="s">
        <v>63</v>
      </c>
      <c r="AG190" s="1" t="s">
        <v>991</v>
      </c>
    </row>
    <row r="191" spans="1:33" ht="15" customHeight="1" x14ac:dyDescent="0.25">
      <c r="A191" t="s">
        <v>992</v>
      </c>
      <c r="B191" t="s">
        <v>983</v>
      </c>
      <c r="C191">
        <v>2</v>
      </c>
      <c r="D191" t="s">
        <v>34</v>
      </c>
      <c r="E191" t="s">
        <v>518</v>
      </c>
      <c r="F191" t="s">
        <v>36</v>
      </c>
      <c r="G191" t="s">
        <v>37</v>
      </c>
      <c r="H191">
        <v>12</v>
      </c>
      <c r="I191">
        <v>0</v>
      </c>
      <c r="J191" t="s">
        <v>77</v>
      </c>
      <c r="K191">
        <v>45</v>
      </c>
      <c r="L191" t="s">
        <v>210</v>
      </c>
      <c r="M191">
        <v>40</v>
      </c>
      <c r="N191">
        <v>18</v>
      </c>
      <c r="O191">
        <v>11</v>
      </c>
      <c r="P191">
        <v>15</v>
      </c>
      <c r="Q191">
        <v>6</v>
      </c>
      <c r="R191">
        <v>8</v>
      </c>
      <c r="S191">
        <v>5</v>
      </c>
      <c r="T191">
        <v>4</v>
      </c>
      <c r="U191">
        <v>0</v>
      </c>
      <c r="V191">
        <v>2</v>
      </c>
      <c r="W191">
        <v>-2</v>
      </c>
      <c r="X191">
        <v>-1</v>
      </c>
      <c r="Y191">
        <v>-3</v>
      </c>
      <c r="Z191" t="s">
        <v>36</v>
      </c>
      <c r="AA191" t="s">
        <v>36</v>
      </c>
      <c r="AB191" t="s">
        <v>985</v>
      </c>
      <c r="AC191" t="s">
        <v>774</v>
      </c>
      <c r="AD191" t="s">
        <v>36</v>
      </c>
      <c r="AE191" t="s">
        <v>151</v>
      </c>
      <c r="AF191" t="s">
        <v>993</v>
      </c>
      <c r="AG191" s="1" t="s">
        <v>994</v>
      </c>
    </row>
    <row r="192" spans="1:33" ht="15" customHeight="1" x14ac:dyDescent="0.25">
      <c r="A192" t="s">
        <v>995</v>
      </c>
      <c r="B192" t="s">
        <v>995</v>
      </c>
      <c r="C192">
        <v>21</v>
      </c>
      <c r="D192" t="s">
        <v>34</v>
      </c>
      <c r="E192" t="s">
        <v>373</v>
      </c>
      <c r="F192" t="s">
        <v>411</v>
      </c>
      <c r="G192" t="s">
        <v>208</v>
      </c>
      <c r="H192">
        <v>21</v>
      </c>
      <c r="I192">
        <v>20</v>
      </c>
      <c r="J192" t="s">
        <v>996</v>
      </c>
      <c r="K192">
        <v>297</v>
      </c>
      <c r="L192" t="s">
        <v>997</v>
      </c>
      <c r="M192">
        <v>50</v>
      </c>
      <c r="N192">
        <v>26</v>
      </c>
      <c r="O192">
        <v>22</v>
      </c>
      <c r="P192">
        <v>26</v>
      </c>
      <c r="Q192">
        <v>25</v>
      </c>
      <c r="R192">
        <v>25</v>
      </c>
      <c r="S192">
        <v>30</v>
      </c>
      <c r="T192">
        <v>8</v>
      </c>
      <c r="U192">
        <v>6</v>
      </c>
      <c r="V192">
        <v>8</v>
      </c>
      <c r="W192">
        <v>7</v>
      </c>
      <c r="X192">
        <v>7</v>
      </c>
      <c r="Y192">
        <v>10</v>
      </c>
      <c r="Z192" t="s">
        <v>998</v>
      </c>
      <c r="AA192" t="s">
        <v>36</v>
      </c>
      <c r="AB192" t="s">
        <v>36</v>
      </c>
      <c r="AC192" t="s">
        <v>999</v>
      </c>
      <c r="AD192" t="s">
        <v>36</v>
      </c>
      <c r="AE192" t="s">
        <v>1000</v>
      </c>
      <c r="AF192" t="s">
        <v>378</v>
      </c>
      <c r="AG192" s="1" t="s">
        <v>1001</v>
      </c>
    </row>
    <row r="193" spans="1:33" ht="15" customHeight="1" x14ac:dyDescent="0.25">
      <c r="A193" t="s">
        <v>1002</v>
      </c>
      <c r="B193" t="s">
        <v>1002</v>
      </c>
      <c r="C193">
        <v>1</v>
      </c>
      <c r="D193" t="s">
        <v>56</v>
      </c>
      <c r="E193" t="s">
        <v>518</v>
      </c>
      <c r="F193" t="s">
        <v>36</v>
      </c>
      <c r="G193" t="s">
        <v>122</v>
      </c>
      <c r="H193">
        <v>12</v>
      </c>
      <c r="I193">
        <v>2</v>
      </c>
      <c r="J193" t="s">
        <v>453</v>
      </c>
      <c r="K193">
        <v>22</v>
      </c>
      <c r="L193" t="s">
        <v>1003</v>
      </c>
      <c r="M193">
        <v>30</v>
      </c>
      <c r="N193">
        <v>1</v>
      </c>
      <c r="O193">
        <v>14</v>
      </c>
      <c r="P193">
        <v>11</v>
      </c>
      <c r="Q193">
        <v>10</v>
      </c>
      <c r="R193">
        <v>10</v>
      </c>
      <c r="S193">
        <v>11</v>
      </c>
      <c r="T193">
        <v>-5</v>
      </c>
      <c r="U193">
        <v>2</v>
      </c>
      <c r="V193">
        <v>0</v>
      </c>
      <c r="W193">
        <v>0</v>
      </c>
      <c r="X193">
        <v>0</v>
      </c>
      <c r="Y193">
        <v>0</v>
      </c>
      <c r="Z193" t="s">
        <v>36</v>
      </c>
      <c r="AA193" t="s">
        <v>526</v>
      </c>
      <c r="AB193" t="s">
        <v>36</v>
      </c>
      <c r="AC193" t="s">
        <v>1004</v>
      </c>
      <c r="AD193" t="s">
        <v>36</v>
      </c>
      <c r="AE193" t="s">
        <v>51</v>
      </c>
      <c r="AF193" t="s">
        <v>492</v>
      </c>
      <c r="AG193" s="1" t="s">
        <v>1005</v>
      </c>
    </row>
    <row r="194" spans="1:33" ht="15" customHeight="1" x14ac:dyDescent="0.25">
      <c r="A194" t="s">
        <v>1006</v>
      </c>
      <c r="B194" t="s">
        <v>1007</v>
      </c>
      <c r="C194">
        <v>1</v>
      </c>
      <c r="D194" t="s">
        <v>669</v>
      </c>
      <c r="E194" t="s">
        <v>373</v>
      </c>
      <c r="F194" t="s">
        <v>36</v>
      </c>
      <c r="G194" t="s">
        <v>208</v>
      </c>
      <c r="H194">
        <v>13</v>
      </c>
      <c r="I194">
        <v>3</v>
      </c>
      <c r="J194" t="s">
        <v>1008</v>
      </c>
      <c r="K194">
        <v>24</v>
      </c>
      <c r="L194" t="s">
        <v>348</v>
      </c>
      <c r="M194">
        <v>20</v>
      </c>
      <c r="N194">
        <v>6</v>
      </c>
      <c r="O194">
        <v>17</v>
      </c>
      <c r="P194">
        <v>13</v>
      </c>
      <c r="Q194">
        <v>15</v>
      </c>
      <c r="R194">
        <v>12</v>
      </c>
      <c r="S194">
        <v>11</v>
      </c>
      <c r="T194">
        <v>-2</v>
      </c>
      <c r="U194">
        <v>3</v>
      </c>
      <c r="V194">
        <v>1</v>
      </c>
      <c r="W194">
        <v>2</v>
      </c>
      <c r="X194">
        <v>1</v>
      </c>
      <c r="Y194">
        <v>0</v>
      </c>
      <c r="Z194" t="s">
        <v>1009</v>
      </c>
      <c r="AA194" t="s">
        <v>1010</v>
      </c>
      <c r="AB194" t="s">
        <v>36</v>
      </c>
      <c r="AC194" t="s">
        <v>36</v>
      </c>
      <c r="AD194" t="s">
        <v>36</v>
      </c>
      <c r="AE194" t="s">
        <v>283</v>
      </c>
      <c r="AF194" t="s">
        <v>627</v>
      </c>
      <c r="AG194" s="1" t="s">
        <v>1011</v>
      </c>
    </row>
    <row r="195" spans="1:33" ht="15" customHeight="1" x14ac:dyDescent="0.25">
      <c r="A195" t="s">
        <v>1012</v>
      </c>
      <c r="B195" t="s">
        <v>1007</v>
      </c>
      <c r="C195">
        <v>11</v>
      </c>
      <c r="D195" t="s">
        <v>34</v>
      </c>
      <c r="E195" t="s">
        <v>373</v>
      </c>
      <c r="F195" t="s">
        <v>36</v>
      </c>
      <c r="G195" t="s">
        <v>113</v>
      </c>
      <c r="H195">
        <v>17</v>
      </c>
      <c r="I195">
        <v>10</v>
      </c>
      <c r="J195" t="s">
        <v>1013</v>
      </c>
      <c r="K195">
        <v>170</v>
      </c>
      <c r="L195" t="s">
        <v>659</v>
      </c>
      <c r="M195">
        <v>40</v>
      </c>
      <c r="N195">
        <v>18</v>
      </c>
      <c r="O195">
        <v>15</v>
      </c>
      <c r="P195">
        <v>16</v>
      </c>
      <c r="Q195">
        <v>18</v>
      </c>
      <c r="R195">
        <v>18</v>
      </c>
      <c r="S195">
        <v>18</v>
      </c>
      <c r="T195">
        <v>4</v>
      </c>
      <c r="U195">
        <v>2</v>
      </c>
      <c r="V195">
        <v>3</v>
      </c>
      <c r="W195">
        <v>4</v>
      </c>
      <c r="X195">
        <v>4</v>
      </c>
      <c r="Y195">
        <v>4</v>
      </c>
      <c r="Z195" t="s">
        <v>1014</v>
      </c>
      <c r="AA195" t="s">
        <v>1015</v>
      </c>
      <c r="AB195" t="s">
        <v>36</v>
      </c>
      <c r="AC195" t="s">
        <v>1016</v>
      </c>
      <c r="AD195" t="s">
        <v>36</v>
      </c>
      <c r="AE195" t="s">
        <v>762</v>
      </c>
      <c r="AF195" t="s">
        <v>627</v>
      </c>
      <c r="AG195" s="1" t="s">
        <v>1017</v>
      </c>
    </row>
    <row r="196" spans="1:33" ht="15" customHeight="1" x14ac:dyDescent="0.25">
      <c r="A196" t="s">
        <v>1018</v>
      </c>
      <c r="B196" t="s">
        <v>1007</v>
      </c>
      <c r="C196">
        <v>17</v>
      </c>
      <c r="D196" t="s">
        <v>34</v>
      </c>
      <c r="E196" t="s">
        <v>373</v>
      </c>
      <c r="F196" t="s">
        <v>36</v>
      </c>
      <c r="G196" t="s">
        <v>113</v>
      </c>
      <c r="H196">
        <v>17</v>
      </c>
      <c r="I196">
        <v>12</v>
      </c>
      <c r="J196" t="s">
        <v>674</v>
      </c>
      <c r="K196">
        <v>199</v>
      </c>
      <c r="L196" t="s">
        <v>659</v>
      </c>
      <c r="M196">
        <v>40</v>
      </c>
      <c r="N196">
        <v>22</v>
      </c>
      <c r="O196">
        <v>10</v>
      </c>
      <c r="P196">
        <v>20</v>
      </c>
      <c r="Q196">
        <v>16</v>
      </c>
      <c r="R196">
        <v>23</v>
      </c>
      <c r="S196">
        <v>18</v>
      </c>
      <c r="T196">
        <v>6</v>
      </c>
      <c r="U196">
        <v>6</v>
      </c>
      <c r="V196">
        <v>11</v>
      </c>
      <c r="W196">
        <v>9</v>
      </c>
      <c r="X196">
        <v>12</v>
      </c>
      <c r="Y196">
        <v>4</v>
      </c>
      <c r="Z196" t="s">
        <v>1019</v>
      </c>
      <c r="AA196" t="s">
        <v>1015</v>
      </c>
      <c r="AB196" t="s">
        <v>36</v>
      </c>
      <c r="AC196" t="s">
        <v>1016</v>
      </c>
      <c r="AD196" t="s">
        <v>36</v>
      </c>
      <c r="AE196" t="s">
        <v>1020</v>
      </c>
      <c r="AF196" t="s">
        <v>627</v>
      </c>
      <c r="AG196" s="1" t="s">
        <v>1021</v>
      </c>
    </row>
    <row r="197" spans="1:33" ht="15" customHeight="1" x14ac:dyDescent="0.25">
      <c r="A197" t="s">
        <v>1022</v>
      </c>
      <c r="B197" t="s">
        <v>1022</v>
      </c>
      <c r="C197">
        <v>8</v>
      </c>
      <c r="D197" t="s">
        <v>34</v>
      </c>
      <c r="E197" t="s">
        <v>120</v>
      </c>
      <c r="F197" t="s">
        <v>36</v>
      </c>
      <c r="G197" t="s">
        <v>122</v>
      </c>
      <c r="H197">
        <v>17</v>
      </c>
      <c r="I197">
        <v>3</v>
      </c>
      <c r="J197" t="s">
        <v>1023</v>
      </c>
      <c r="K197">
        <v>135</v>
      </c>
      <c r="L197" t="s">
        <v>210</v>
      </c>
      <c r="M197">
        <v>40</v>
      </c>
      <c r="N197">
        <v>18</v>
      </c>
      <c r="O197">
        <v>17</v>
      </c>
      <c r="P197">
        <v>14</v>
      </c>
      <c r="Q197">
        <v>16</v>
      </c>
      <c r="R197">
        <v>15</v>
      </c>
      <c r="S197">
        <v>16</v>
      </c>
      <c r="T197">
        <v>4</v>
      </c>
      <c r="U197">
        <v>6</v>
      </c>
      <c r="V197">
        <v>5</v>
      </c>
      <c r="W197">
        <v>3</v>
      </c>
      <c r="X197">
        <v>5</v>
      </c>
      <c r="Y197">
        <v>6</v>
      </c>
      <c r="Z197" t="s">
        <v>36</v>
      </c>
      <c r="AA197" t="s">
        <v>36</v>
      </c>
      <c r="AB197" t="s">
        <v>36</v>
      </c>
      <c r="AC197" t="s">
        <v>671</v>
      </c>
      <c r="AD197" t="s">
        <v>36</v>
      </c>
      <c r="AE197" t="s">
        <v>612</v>
      </c>
      <c r="AF197" t="s">
        <v>729</v>
      </c>
      <c r="AG197" s="1" t="s">
        <v>1024</v>
      </c>
    </row>
    <row r="198" spans="1:33" ht="15" customHeight="1" x14ac:dyDescent="0.25">
      <c r="A198" t="s">
        <v>1025</v>
      </c>
      <c r="B198" t="s">
        <v>1025</v>
      </c>
      <c r="C198">
        <v>0.25</v>
      </c>
      <c r="D198" t="s">
        <v>669</v>
      </c>
      <c r="E198" t="s">
        <v>207</v>
      </c>
      <c r="F198" t="s">
        <v>36</v>
      </c>
      <c r="G198" t="s">
        <v>298</v>
      </c>
      <c r="H198">
        <v>15</v>
      </c>
      <c r="I198">
        <v>4</v>
      </c>
      <c r="J198" t="s">
        <v>1026</v>
      </c>
      <c r="K198">
        <v>10</v>
      </c>
      <c r="L198" t="s">
        <v>332</v>
      </c>
      <c r="M198">
        <v>10</v>
      </c>
      <c r="N198">
        <v>3</v>
      </c>
      <c r="O198">
        <v>18</v>
      </c>
      <c r="P198">
        <v>10</v>
      </c>
      <c r="Q198">
        <v>14</v>
      </c>
      <c r="R198">
        <v>13</v>
      </c>
      <c r="S198">
        <v>11</v>
      </c>
      <c r="T198">
        <v>-4</v>
      </c>
      <c r="U198">
        <v>4</v>
      </c>
      <c r="V198">
        <v>0</v>
      </c>
      <c r="W198">
        <v>2</v>
      </c>
      <c r="X198">
        <v>1</v>
      </c>
      <c r="Y198">
        <v>0</v>
      </c>
      <c r="Z198" t="s">
        <v>1027</v>
      </c>
      <c r="AA198" t="s">
        <v>36</v>
      </c>
      <c r="AB198" t="s">
        <v>36</v>
      </c>
      <c r="AC198" t="s">
        <v>36</v>
      </c>
      <c r="AD198" t="s">
        <v>36</v>
      </c>
      <c r="AE198" t="s">
        <v>301</v>
      </c>
      <c r="AF198" t="s">
        <v>608</v>
      </c>
      <c r="AG198" s="1" t="s">
        <v>1028</v>
      </c>
    </row>
    <row r="199" spans="1:33" ht="15" customHeight="1" x14ac:dyDescent="0.25">
      <c r="A199" t="s">
        <v>1029</v>
      </c>
      <c r="B199" t="s">
        <v>1029</v>
      </c>
      <c r="C199">
        <v>1</v>
      </c>
      <c r="D199" t="s">
        <v>82</v>
      </c>
      <c r="E199" t="s">
        <v>83</v>
      </c>
      <c r="F199" t="s">
        <v>36</v>
      </c>
      <c r="G199" t="s">
        <v>46</v>
      </c>
      <c r="H199">
        <v>12</v>
      </c>
      <c r="I199">
        <v>4</v>
      </c>
      <c r="J199" t="s">
        <v>548</v>
      </c>
      <c r="K199">
        <v>27</v>
      </c>
      <c r="L199" t="s">
        <v>144</v>
      </c>
      <c r="M199">
        <v>30</v>
      </c>
      <c r="N199">
        <v>10</v>
      </c>
      <c r="O199">
        <v>15</v>
      </c>
      <c r="P199">
        <v>10</v>
      </c>
      <c r="Q199">
        <v>12</v>
      </c>
      <c r="R199">
        <v>14</v>
      </c>
      <c r="S199">
        <v>16</v>
      </c>
      <c r="T199">
        <v>0</v>
      </c>
      <c r="U199">
        <v>2</v>
      </c>
      <c r="V199">
        <v>0</v>
      </c>
      <c r="W199">
        <v>1</v>
      </c>
      <c r="X199">
        <v>2</v>
      </c>
      <c r="Y199">
        <v>3</v>
      </c>
      <c r="Z199" t="s">
        <v>1030</v>
      </c>
      <c r="AA199" t="s">
        <v>36</v>
      </c>
      <c r="AB199" t="s">
        <v>36</v>
      </c>
      <c r="AC199" t="s">
        <v>36</v>
      </c>
      <c r="AD199" t="s">
        <v>1031</v>
      </c>
      <c r="AE199" t="s">
        <v>89</v>
      </c>
      <c r="AF199" t="s">
        <v>100</v>
      </c>
      <c r="AG199" s="1" t="s">
        <v>1032</v>
      </c>
    </row>
    <row r="200" spans="1:33" ht="15" customHeight="1" x14ac:dyDescent="0.25">
      <c r="A200" t="s">
        <v>1033</v>
      </c>
      <c r="B200" t="s">
        <v>1033</v>
      </c>
      <c r="C200">
        <v>0.125</v>
      </c>
      <c r="D200" t="s">
        <v>669</v>
      </c>
      <c r="E200" t="s">
        <v>76</v>
      </c>
      <c r="F200" t="s">
        <v>36</v>
      </c>
      <c r="G200" t="s">
        <v>58</v>
      </c>
      <c r="H200">
        <v>13</v>
      </c>
      <c r="I200">
        <v>3</v>
      </c>
      <c r="J200" t="s">
        <v>1034</v>
      </c>
      <c r="K200">
        <v>5</v>
      </c>
      <c r="L200" t="s">
        <v>332</v>
      </c>
      <c r="M200">
        <v>10</v>
      </c>
      <c r="N200">
        <v>4</v>
      </c>
      <c r="O200">
        <v>16</v>
      </c>
      <c r="P200">
        <v>11</v>
      </c>
      <c r="Q200">
        <v>2</v>
      </c>
      <c r="R200">
        <v>8</v>
      </c>
      <c r="S200">
        <v>6</v>
      </c>
      <c r="T200">
        <v>-3</v>
      </c>
      <c r="U200">
        <v>3</v>
      </c>
      <c r="V200">
        <v>0</v>
      </c>
      <c r="W200">
        <v>-4</v>
      </c>
      <c r="X200">
        <v>-1</v>
      </c>
      <c r="Y200">
        <v>-2</v>
      </c>
      <c r="Z200" t="s">
        <v>36</v>
      </c>
      <c r="AA200" t="s">
        <v>36</v>
      </c>
      <c r="AB200" t="s">
        <v>36</v>
      </c>
      <c r="AC200" t="s">
        <v>36</v>
      </c>
      <c r="AD200" t="s">
        <v>36</v>
      </c>
      <c r="AE200" t="s">
        <v>151</v>
      </c>
      <c r="AF200" t="s">
        <v>63</v>
      </c>
      <c r="AG200" s="1" t="s">
        <v>1035</v>
      </c>
    </row>
    <row r="201" spans="1:33" ht="15" customHeight="1" x14ac:dyDescent="0.25">
      <c r="A201" t="s">
        <v>1036</v>
      </c>
      <c r="B201" t="s">
        <v>1036</v>
      </c>
      <c r="C201">
        <v>7</v>
      </c>
      <c r="D201" t="s">
        <v>103</v>
      </c>
      <c r="E201" t="s">
        <v>339</v>
      </c>
      <c r="F201" t="s">
        <v>36</v>
      </c>
      <c r="G201" t="s">
        <v>46</v>
      </c>
      <c r="H201">
        <v>17</v>
      </c>
      <c r="I201">
        <v>5</v>
      </c>
      <c r="J201" t="s">
        <v>1037</v>
      </c>
      <c r="K201">
        <v>126</v>
      </c>
      <c r="L201" t="s">
        <v>210</v>
      </c>
      <c r="M201">
        <v>40</v>
      </c>
      <c r="N201">
        <v>23</v>
      </c>
      <c r="O201">
        <v>15</v>
      </c>
      <c r="P201">
        <v>20</v>
      </c>
      <c r="Q201">
        <v>10</v>
      </c>
      <c r="R201">
        <v>12</v>
      </c>
      <c r="S201">
        <v>9</v>
      </c>
      <c r="T201">
        <v>6</v>
      </c>
      <c r="U201">
        <v>5</v>
      </c>
      <c r="V201">
        <v>8</v>
      </c>
      <c r="W201">
        <v>0</v>
      </c>
      <c r="X201">
        <v>4</v>
      </c>
      <c r="Y201">
        <v>-1</v>
      </c>
      <c r="Z201" t="s">
        <v>1038</v>
      </c>
      <c r="AA201" t="s">
        <v>36</v>
      </c>
      <c r="AB201" t="s">
        <v>36</v>
      </c>
      <c r="AC201" t="s">
        <v>36</v>
      </c>
      <c r="AD201" t="s">
        <v>36</v>
      </c>
      <c r="AE201" t="s">
        <v>321</v>
      </c>
      <c r="AF201" t="s">
        <v>339</v>
      </c>
      <c r="AG201" s="1" t="s">
        <v>1039</v>
      </c>
    </row>
    <row r="202" spans="1:33" ht="15" customHeight="1" x14ac:dyDescent="0.25">
      <c r="A202" t="s">
        <v>1040</v>
      </c>
      <c r="B202" t="s">
        <v>1040</v>
      </c>
      <c r="C202">
        <v>10</v>
      </c>
      <c r="D202" t="s">
        <v>34</v>
      </c>
      <c r="E202" t="s">
        <v>57</v>
      </c>
      <c r="F202" t="s">
        <v>36</v>
      </c>
      <c r="G202" t="s">
        <v>58</v>
      </c>
      <c r="H202">
        <v>18</v>
      </c>
      <c r="I202">
        <v>3</v>
      </c>
      <c r="J202" t="s">
        <v>760</v>
      </c>
      <c r="K202">
        <v>220</v>
      </c>
      <c r="L202" t="s">
        <v>85</v>
      </c>
      <c r="M202">
        <v>30</v>
      </c>
      <c r="N202">
        <v>22</v>
      </c>
      <c r="O202">
        <v>9</v>
      </c>
      <c r="P202">
        <v>20</v>
      </c>
      <c r="Q202">
        <v>3</v>
      </c>
      <c r="R202">
        <v>11</v>
      </c>
      <c r="S202">
        <v>1</v>
      </c>
      <c r="T202">
        <v>6</v>
      </c>
      <c r="U202">
        <v>-1</v>
      </c>
      <c r="V202">
        <v>5</v>
      </c>
      <c r="W202">
        <v>-4</v>
      </c>
      <c r="X202">
        <v>0</v>
      </c>
      <c r="Y202">
        <v>-5</v>
      </c>
      <c r="Z202" t="s">
        <v>36</v>
      </c>
      <c r="AA202" t="s">
        <v>36</v>
      </c>
      <c r="AB202" t="s">
        <v>36</v>
      </c>
      <c r="AC202" t="s">
        <v>1041</v>
      </c>
      <c r="AD202" t="s">
        <v>36</v>
      </c>
      <c r="AE202" t="s">
        <v>708</v>
      </c>
      <c r="AF202" t="s">
        <v>709</v>
      </c>
      <c r="AG202" s="1" t="s">
        <v>1042</v>
      </c>
    </row>
    <row r="203" spans="1:33" ht="15" customHeight="1" x14ac:dyDescent="0.25">
      <c r="A203" t="s">
        <v>1043</v>
      </c>
      <c r="B203" t="s">
        <v>1043</v>
      </c>
      <c r="C203">
        <v>13</v>
      </c>
      <c r="D203" t="s">
        <v>103</v>
      </c>
      <c r="E203" t="s">
        <v>339</v>
      </c>
      <c r="F203" t="s">
        <v>36</v>
      </c>
      <c r="G203" t="s">
        <v>248</v>
      </c>
      <c r="H203">
        <v>16</v>
      </c>
      <c r="I203">
        <v>7</v>
      </c>
      <c r="J203" t="s">
        <v>1044</v>
      </c>
      <c r="K203">
        <v>230</v>
      </c>
      <c r="L203" t="s">
        <v>1045</v>
      </c>
      <c r="M203">
        <v>50</v>
      </c>
      <c r="N203">
        <v>29</v>
      </c>
      <c r="O203">
        <v>14</v>
      </c>
      <c r="P203">
        <v>20</v>
      </c>
      <c r="Q203">
        <v>16</v>
      </c>
      <c r="R203">
        <v>20</v>
      </c>
      <c r="S203">
        <v>18</v>
      </c>
      <c r="T203">
        <v>14</v>
      </c>
      <c r="U203">
        <v>2</v>
      </c>
      <c r="V203">
        <v>10</v>
      </c>
      <c r="W203">
        <v>3</v>
      </c>
      <c r="X203">
        <v>10</v>
      </c>
      <c r="Y203">
        <v>9</v>
      </c>
      <c r="Z203" t="s">
        <v>1046</v>
      </c>
      <c r="AA203" t="s">
        <v>146</v>
      </c>
      <c r="AB203" t="s">
        <v>36</v>
      </c>
      <c r="AC203" t="s">
        <v>422</v>
      </c>
      <c r="AD203" t="s">
        <v>36</v>
      </c>
      <c r="AE203" t="s">
        <v>1047</v>
      </c>
      <c r="AF203" t="s">
        <v>344</v>
      </c>
      <c r="AG203" s="1" t="s">
        <v>1048</v>
      </c>
    </row>
    <row r="204" spans="1:33" ht="15" customHeight="1" x14ac:dyDescent="0.25">
      <c r="A204" t="s">
        <v>1049</v>
      </c>
      <c r="B204" t="s">
        <v>1049</v>
      </c>
      <c r="C204">
        <v>4</v>
      </c>
      <c r="D204" t="s">
        <v>56</v>
      </c>
      <c r="E204" t="s">
        <v>120</v>
      </c>
      <c r="F204" t="s">
        <v>36</v>
      </c>
      <c r="G204" t="s">
        <v>159</v>
      </c>
      <c r="H204">
        <v>15</v>
      </c>
      <c r="I204">
        <v>3</v>
      </c>
      <c r="J204" t="s">
        <v>1050</v>
      </c>
      <c r="K204">
        <v>71</v>
      </c>
      <c r="L204" t="s">
        <v>311</v>
      </c>
      <c r="M204">
        <v>30</v>
      </c>
      <c r="N204">
        <v>8</v>
      </c>
      <c r="O204">
        <v>17</v>
      </c>
      <c r="P204">
        <v>13</v>
      </c>
      <c r="Q204">
        <v>15</v>
      </c>
      <c r="R204">
        <v>12</v>
      </c>
      <c r="S204">
        <v>20</v>
      </c>
      <c r="T204">
        <v>-1</v>
      </c>
      <c r="U204">
        <v>3</v>
      </c>
      <c r="V204">
        <v>1</v>
      </c>
      <c r="W204">
        <v>2</v>
      </c>
      <c r="X204">
        <v>1</v>
      </c>
      <c r="Y204">
        <v>5</v>
      </c>
      <c r="Z204" t="s">
        <v>694</v>
      </c>
      <c r="AA204" t="s">
        <v>695</v>
      </c>
      <c r="AB204" t="s">
        <v>36</v>
      </c>
      <c r="AC204" t="s">
        <v>36</v>
      </c>
      <c r="AD204" t="s">
        <v>36</v>
      </c>
      <c r="AE204" t="s">
        <v>212</v>
      </c>
      <c r="AF204" t="s">
        <v>696</v>
      </c>
      <c r="AG204" s="1" t="s">
        <v>1051</v>
      </c>
    </row>
    <row r="205" spans="1:33" ht="15" customHeight="1" x14ac:dyDescent="0.25">
      <c r="A205" t="s">
        <v>1052</v>
      </c>
      <c r="B205" t="s">
        <v>1052</v>
      </c>
      <c r="C205">
        <v>30</v>
      </c>
      <c r="D205" t="s">
        <v>194</v>
      </c>
      <c r="E205" t="s">
        <v>76</v>
      </c>
      <c r="F205" t="s">
        <v>720</v>
      </c>
      <c r="G205" t="s">
        <v>58</v>
      </c>
      <c r="H205">
        <v>25</v>
      </c>
      <c r="I205">
        <v>18</v>
      </c>
      <c r="J205" t="s">
        <v>1053</v>
      </c>
      <c r="K205">
        <v>697</v>
      </c>
      <c r="L205" t="s">
        <v>1054</v>
      </c>
      <c r="M205">
        <v>60</v>
      </c>
      <c r="N205">
        <v>30</v>
      </c>
      <c r="O205">
        <v>11</v>
      </c>
      <c r="P205">
        <v>30</v>
      </c>
      <c r="Q205">
        <v>3</v>
      </c>
      <c r="R205">
        <v>11</v>
      </c>
      <c r="S205">
        <v>11</v>
      </c>
      <c r="T205">
        <v>10</v>
      </c>
      <c r="U205">
        <v>9</v>
      </c>
      <c r="V205">
        <v>10</v>
      </c>
      <c r="W205">
        <v>5</v>
      </c>
      <c r="X205">
        <v>9</v>
      </c>
      <c r="Y205">
        <v>9</v>
      </c>
      <c r="Z205" t="s">
        <v>125</v>
      </c>
      <c r="AA205" t="s">
        <v>326</v>
      </c>
      <c r="AB205" t="s">
        <v>36</v>
      </c>
      <c r="AC205" t="s">
        <v>1055</v>
      </c>
      <c r="AD205" t="s">
        <v>36</v>
      </c>
      <c r="AE205" t="s">
        <v>1056</v>
      </c>
      <c r="AF205" t="s">
        <v>63</v>
      </c>
      <c r="AG205" s="1" t="s">
        <v>1057</v>
      </c>
    </row>
    <row r="206" spans="1:33" ht="15" customHeight="1" x14ac:dyDescent="0.25">
      <c r="A206" t="s">
        <v>1058</v>
      </c>
      <c r="B206" t="s">
        <v>1059</v>
      </c>
      <c r="C206">
        <v>0.5</v>
      </c>
      <c r="D206" t="s">
        <v>82</v>
      </c>
      <c r="E206" t="s">
        <v>83</v>
      </c>
      <c r="F206" t="s">
        <v>36</v>
      </c>
      <c r="G206" t="s">
        <v>46</v>
      </c>
      <c r="H206">
        <v>12</v>
      </c>
      <c r="I206">
        <v>1</v>
      </c>
      <c r="J206" t="s">
        <v>1060</v>
      </c>
      <c r="K206">
        <v>32</v>
      </c>
      <c r="L206" t="s">
        <v>85</v>
      </c>
      <c r="M206">
        <v>30</v>
      </c>
      <c r="N206">
        <v>15</v>
      </c>
      <c r="O206">
        <v>12</v>
      </c>
      <c r="P206">
        <v>14</v>
      </c>
      <c r="Q206">
        <v>10</v>
      </c>
      <c r="R206">
        <v>10</v>
      </c>
      <c r="S206">
        <v>11</v>
      </c>
      <c r="T206">
        <v>2</v>
      </c>
      <c r="U206">
        <v>1</v>
      </c>
      <c r="V206">
        <v>2</v>
      </c>
      <c r="W206">
        <v>0</v>
      </c>
      <c r="X206">
        <v>0</v>
      </c>
      <c r="Y206">
        <v>0</v>
      </c>
      <c r="Z206" t="s">
        <v>36</v>
      </c>
      <c r="AA206" t="s">
        <v>36</v>
      </c>
      <c r="AB206" t="s">
        <v>36</v>
      </c>
      <c r="AC206" t="s">
        <v>36</v>
      </c>
      <c r="AD206" t="s">
        <v>1061</v>
      </c>
      <c r="AE206" t="s">
        <v>99</v>
      </c>
      <c r="AF206" t="s">
        <v>170</v>
      </c>
      <c r="AG206" s="1" t="s">
        <v>1062</v>
      </c>
    </row>
    <row r="207" spans="1:33" ht="15" customHeight="1" x14ac:dyDescent="0.25">
      <c r="A207" t="s">
        <v>1063</v>
      </c>
      <c r="B207" t="s">
        <v>1059</v>
      </c>
      <c r="C207">
        <v>4</v>
      </c>
      <c r="D207" t="s">
        <v>82</v>
      </c>
      <c r="E207" t="s">
        <v>83</v>
      </c>
      <c r="F207" t="s">
        <v>36</v>
      </c>
      <c r="G207" t="s">
        <v>46</v>
      </c>
      <c r="H207">
        <v>16</v>
      </c>
      <c r="I207">
        <v>2</v>
      </c>
      <c r="J207" t="s">
        <v>606</v>
      </c>
      <c r="K207">
        <v>82</v>
      </c>
      <c r="L207" t="s">
        <v>85</v>
      </c>
      <c r="M207">
        <v>30</v>
      </c>
      <c r="N207">
        <v>17</v>
      </c>
      <c r="O207">
        <v>14</v>
      </c>
      <c r="P207">
        <v>16</v>
      </c>
      <c r="Q207">
        <v>11</v>
      </c>
      <c r="R207">
        <v>10</v>
      </c>
      <c r="S207">
        <v>11</v>
      </c>
      <c r="T207">
        <v>5</v>
      </c>
      <c r="U207">
        <v>2</v>
      </c>
      <c r="V207">
        <v>5</v>
      </c>
      <c r="W207">
        <v>0</v>
      </c>
      <c r="X207">
        <v>0</v>
      </c>
      <c r="Y207">
        <v>2</v>
      </c>
      <c r="Z207" t="s">
        <v>36</v>
      </c>
      <c r="AA207" t="s">
        <v>36</v>
      </c>
      <c r="AB207" t="s">
        <v>36</v>
      </c>
      <c r="AC207" t="s">
        <v>36</v>
      </c>
      <c r="AD207" t="s">
        <v>1064</v>
      </c>
      <c r="AE207" t="s">
        <v>99</v>
      </c>
      <c r="AF207" t="s">
        <v>100</v>
      </c>
      <c r="AG207" s="1" t="s">
        <v>1065</v>
      </c>
    </row>
    <row r="208" spans="1:33" ht="15" customHeight="1" x14ac:dyDescent="0.25">
      <c r="A208" t="s">
        <v>1066</v>
      </c>
      <c r="B208" t="s">
        <v>1066</v>
      </c>
      <c r="C208">
        <v>9</v>
      </c>
      <c r="D208" t="s">
        <v>103</v>
      </c>
      <c r="E208" t="s">
        <v>94</v>
      </c>
      <c r="F208" t="s">
        <v>36</v>
      </c>
      <c r="G208" t="s">
        <v>248</v>
      </c>
      <c r="H208">
        <v>16</v>
      </c>
      <c r="I208">
        <v>3</v>
      </c>
      <c r="J208" t="s">
        <v>1067</v>
      </c>
      <c r="K208">
        <v>138</v>
      </c>
      <c r="L208" t="s">
        <v>85</v>
      </c>
      <c r="M208">
        <v>30</v>
      </c>
      <c r="N208">
        <v>23</v>
      </c>
      <c r="O208">
        <v>8</v>
      </c>
      <c r="P208">
        <v>21</v>
      </c>
      <c r="Q208">
        <v>12</v>
      </c>
      <c r="R208">
        <v>16</v>
      </c>
      <c r="S208">
        <v>12</v>
      </c>
      <c r="T208">
        <v>6</v>
      </c>
      <c r="U208">
        <v>-1</v>
      </c>
      <c r="V208">
        <v>5</v>
      </c>
      <c r="W208">
        <v>1</v>
      </c>
      <c r="X208">
        <v>3</v>
      </c>
      <c r="Y208">
        <v>1</v>
      </c>
      <c r="Z208" t="s">
        <v>36</v>
      </c>
      <c r="AA208" t="s">
        <v>105</v>
      </c>
      <c r="AB208" t="s">
        <v>98</v>
      </c>
      <c r="AC208" t="s">
        <v>36</v>
      </c>
      <c r="AD208" t="s">
        <v>36</v>
      </c>
      <c r="AE208" t="s">
        <v>301</v>
      </c>
      <c r="AF208" t="s">
        <v>1068</v>
      </c>
      <c r="AG208" s="1" t="s">
        <v>1069</v>
      </c>
    </row>
    <row r="209" spans="1:33" ht="15" customHeight="1" x14ac:dyDescent="0.25">
      <c r="A209" t="s">
        <v>1070</v>
      </c>
      <c r="B209" t="s">
        <v>1070</v>
      </c>
      <c r="C209">
        <v>5</v>
      </c>
      <c r="D209" t="s">
        <v>34</v>
      </c>
      <c r="E209" t="s">
        <v>339</v>
      </c>
      <c r="F209" t="s">
        <v>36</v>
      </c>
      <c r="G209" t="s">
        <v>122</v>
      </c>
      <c r="H209">
        <v>15</v>
      </c>
      <c r="I209">
        <v>1</v>
      </c>
      <c r="J209" t="s">
        <v>291</v>
      </c>
      <c r="K209">
        <v>94</v>
      </c>
      <c r="L209" t="s">
        <v>85</v>
      </c>
      <c r="M209">
        <v>30</v>
      </c>
      <c r="N209">
        <v>18</v>
      </c>
      <c r="O209">
        <v>13</v>
      </c>
      <c r="P209">
        <v>20</v>
      </c>
      <c r="Q209">
        <v>7</v>
      </c>
      <c r="R209">
        <v>9</v>
      </c>
      <c r="S209">
        <v>7</v>
      </c>
      <c r="T209">
        <v>4</v>
      </c>
      <c r="U209">
        <v>1</v>
      </c>
      <c r="V209">
        <v>5</v>
      </c>
      <c r="W209">
        <v>-2</v>
      </c>
      <c r="X209">
        <v>-1</v>
      </c>
      <c r="Y209">
        <v>-2</v>
      </c>
      <c r="Z209" t="s">
        <v>617</v>
      </c>
      <c r="AA209" t="s">
        <v>36</v>
      </c>
      <c r="AB209" t="s">
        <v>36</v>
      </c>
      <c r="AC209" t="s">
        <v>36</v>
      </c>
      <c r="AD209" t="s">
        <v>36</v>
      </c>
      <c r="AE209" t="s">
        <v>212</v>
      </c>
      <c r="AF209" t="s">
        <v>339</v>
      </c>
      <c r="AG209" s="1" t="s">
        <v>1071</v>
      </c>
    </row>
    <row r="210" spans="1:33" ht="15" customHeight="1" x14ac:dyDescent="0.25">
      <c r="A210" t="s">
        <v>1072</v>
      </c>
      <c r="B210" t="s">
        <v>1070</v>
      </c>
      <c r="C210">
        <v>0.5</v>
      </c>
      <c r="D210" t="s">
        <v>66</v>
      </c>
      <c r="E210" t="s">
        <v>339</v>
      </c>
      <c r="F210" t="s">
        <v>36</v>
      </c>
      <c r="G210" t="s">
        <v>122</v>
      </c>
      <c r="H210">
        <v>13</v>
      </c>
      <c r="I210">
        <v>1</v>
      </c>
      <c r="J210" t="s">
        <v>67</v>
      </c>
      <c r="K210">
        <v>14</v>
      </c>
      <c r="L210" t="s">
        <v>96</v>
      </c>
      <c r="M210">
        <v>20</v>
      </c>
      <c r="N210">
        <v>18</v>
      </c>
      <c r="O210">
        <v>12</v>
      </c>
      <c r="P210">
        <v>10</v>
      </c>
      <c r="Q210">
        <v>1</v>
      </c>
      <c r="R210">
        <v>9</v>
      </c>
      <c r="S210">
        <v>1</v>
      </c>
      <c r="T210">
        <v>4</v>
      </c>
      <c r="U210">
        <v>1</v>
      </c>
      <c r="V210">
        <v>0</v>
      </c>
      <c r="W210">
        <v>-5</v>
      </c>
      <c r="X210">
        <v>-1</v>
      </c>
      <c r="Y210">
        <v>-5</v>
      </c>
      <c r="Z210" t="s">
        <v>36</v>
      </c>
      <c r="AA210" t="s">
        <v>36</v>
      </c>
      <c r="AB210" t="s">
        <v>36</v>
      </c>
      <c r="AC210" t="s">
        <v>36</v>
      </c>
      <c r="AD210" t="s">
        <v>36</v>
      </c>
      <c r="AE210" t="s">
        <v>151</v>
      </c>
      <c r="AF210" t="s">
        <v>63</v>
      </c>
      <c r="AG210" s="1" t="s">
        <v>1073</v>
      </c>
    </row>
    <row r="211" spans="1:33" ht="15" customHeight="1" x14ac:dyDescent="0.25">
      <c r="A211" t="s">
        <v>1074</v>
      </c>
      <c r="B211" t="s">
        <v>1074</v>
      </c>
      <c r="C211">
        <v>5</v>
      </c>
      <c r="D211" t="s">
        <v>34</v>
      </c>
      <c r="E211" t="s">
        <v>373</v>
      </c>
      <c r="F211" t="s">
        <v>36</v>
      </c>
      <c r="G211" t="s">
        <v>208</v>
      </c>
      <c r="H211">
        <v>12</v>
      </c>
      <c r="I211">
        <v>8</v>
      </c>
      <c r="J211" t="s">
        <v>699</v>
      </c>
      <c r="K211">
        <v>97</v>
      </c>
      <c r="L211" t="s">
        <v>109</v>
      </c>
      <c r="M211">
        <v>50</v>
      </c>
      <c r="N211">
        <v>18</v>
      </c>
      <c r="O211">
        <v>14</v>
      </c>
      <c r="P211">
        <v>15</v>
      </c>
      <c r="Q211">
        <v>11</v>
      </c>
      <c r="R211">
        <v>17</v>
      </c>
      <c r="S211">
        <v>16</v>
      </c>
      <c r="T211">
        <v>4</v>
      </c>
      <c r="U211">
        <v>2</v>
      </c>
      <c r="V211">
        <v>2</v>
      </c>
      <c r="W211">
        <v>0</v>
      </c>
      <c r="X211">
        <v>3</v>
      </c>
      <c r="Y211">
        <v>3</v>
      </c>
      <c r="Z211" t="s">
        <v>36</v>
      </c>
      <c r="AA211" t="s">
        <v>36</v>
      </c>
      <c r="AB211" t="s">
        <v>36</v>
      </c>
      <c r="AC211" t="s">
        <v>1075</v>
      </c>
      <c r="AD211" t="s">
        <v>36</v>
      </c>
      <c r="AE211" t="s">
        <v>475</v>
      </c>
      <c r="AF211" t="s">
        <v>1076</v>
      </c>
      <c r="AG211" s="1" t="s">
        <v>1077</v>
      </c>
    </row>
    <row r="212" spans="1:33" ht="15" customHeight="1" x14ac:dyDescent="0.25">
      <c r="A212" t="s">
        <v>1078</v>
      </c>
      <c r="B212" t="s">
        <v>1079</v>
      </c>
      <c r="C212">
        <v>3</v>
      </c>
      <c r="D212" t="s">
        <v>82</v>
      </c>
      <c r="E212" t="s">
        <v>83</v>
      </c>
      <c r="F212" t="s">
        <v>36</v>
      </c>
      <c r="G212" t="s">
        <v>159</v>
      </c>
      <c r="H212">
        <v>15</v>
      </c>
      <c r="I212">
        <v>5</v>
      </c>
      <c r="J212" t="s">
        <v>217</v>
      </c>
      <c r="K212">
        <v>65</v>
      </c>
      <c r="L212" t="s">
        <v>144</v>
      </c>
      <c r="M212">
        <v>30</v>
      </c>
      <c r="N212">
        <v>17</v>
      </c>
      <c r="O212">
        <v>16</v>
      </c>
      <c r="P212">
        <v>15</v>
      </c>
      <c r="Q212">
        <v>10</v>
      </c>
      <c r="R212">
        <v>10</v>
      </c>
      <c r="S212">
        <v>14</v>
      </c>
      <c r="T212">
        <v>3</v>
      </c>
      <c r="U212">
        <v>5</v>
      </c>
      <c r="V212">
        <v>2</v>
      </c>
      <c r="W212">
        <v>0</v>
      </c>
      <c r="X212">
        <v>2</v>
      </c>
      <c r="Y212">
        <v>2</v>
      </c>
      <c r="Z212" t="s">
        <v>1080</v>
      </c>
      <c r="AA212" t="s">
        <v>520</v>
      </c>
      <c r="AB212" t="s">
        <v>36</v>
      </c>
      <c r="AC212" t="s">
        <v>1081</v>
      </c>
      <c r="AD212" t="s">
        <v>1082</v>
      </c>
      <c r="AE212" t="s">
        <v>321</v>
      </c>
      <c r="AF212" t="s">
        <v>100</v>
      </c>
      <c r="AG212" s="1" t="s">
        <v>1083</v>
      </c>
    </row>
    <row r="213" spans="1:33" ht="15" customHeight="1" x14ac:dyDescent="0.25">
      <c r="A213" t="s">
        <v>1084</v>
      </c>
      <c r="B213" t="s">
        <v>1079</v>
      </c>
      <c r="C213">
        <v>5</v>
      </c>
      <c r="D213" t="s">
        <v>82</v>
      </c>
      <c r="E213" t="s">
        <v>518</v>
      </c>
      <c r="F213" t="s">
        <v>36</v>
      </c>
      <c r="G213" t="s">
        <v>159</v>
      </c>
      <c r="H213">
        <v>16</v>
      </c>
      <c r="I213">
        <v>3</v>
      </c>
      <c r="J213" t="s">
        <v>1085</v>
      </c>
      <c r="K213">
        <v>90</v>
      </c>
      <c r="L213" t="s">
        <v>85</v>
      </c>
      <c r="M213">
        <v>30</v>
      </c>
      <c r="N213">
        <v>16</v>
      </c>
      <c r="O213">
        <v>16</v>
      </c>
      <c r="P213">
        <v>16</v>
      </c>
      <c r="Q213">
        <v>11</v>
      </c>
      <c r="R213">
        <v>10</v>
      </c>
      <c r="S213">
        <v>12</v>
      </c>
      <c r="T213">
        <v>3</v>
      </c>
      <c r="U213">
        <v>6</v>
      </c>
      <c r="V213">
        <v>3</v>
      </c>
      <c r="W213">
        <v>0</v>
      </c>
      <c r="X213">
        <v>3</v>
      </c>
      <c r="Y213">
        <v>1</v>
      </c>
      <c r="Z213" t="s">
        <v>1086</v>
      </c>
      <c r="AA213" t="s">
        <v>520</v>
      </c>
      <c r="AB213" t="s">
        <v>36</v>
      </c>
      <c r="AC213" t="s">
        <v>36</v>
      </c>
      <c r="AD213" t="s">
        <v>36</v>
      </c>
      <c r="AE213" t="s">
        <v>475</v>
      </c>
      <c r="AF213" t="s">
        <v>100</v>
      </c>
      <c r="AG213" s="1" t="s">
        <v>1087</v>
      </c>
    </row>
    <row r="214" spans="1:33" ht="15" customHeight="1" x14ac:dyDescent="0.25">
      <c r="A214" t="s">
        <v>1088</v>
      </c>
      <c r="B214" t="s">
        <v>1079</v>
      </c>
      <c r="C214">
        <v>13</v>
      </c>
      <c r="D214" t="s">
        <v>82</v>
      </c>
      <c r="E214" t="s">
        <v>518</v>
      </c>
      <c r="F214" t="s">
        <v>36</v>
      </c>
      <c r="G214" t="s">
        <v>37</v>
      </c>
      <c r="H214">
        <v>16</v>
      </c>
      <c r="I214">
        <v>14</v>
      </c>
      <c r="J214" t="s">
        <v>1089</v>
      </c>
      <c r="K214">
        <v>195</v>
      </c>
      <c r="L214" t="s">
        <v>761</v>
      </c>
      <c r="M214">
        <v>40</v>
      </c>
      <c r="N214">
        <v>18</v>
      </c>
      <c r="O214">
        <v>18</v>
      </c>
      <c r="P214">
        <v>18</v>
      </c>
      <c r="Q214">
        <v>17</v>
      </c>
      <c r="R214">
        <v>15</v>
      </c>
      <c r="S214">
        <v>18</v>
      </c>
      <c r="T214">
        <v>4</v>
      </c>
      <c r="U214">
        <v>9</v>
      </c>
      <c r="V214">
        <v>9</v>
      </c>
      <c r="W214">
        <v>3</v>
      </c>
      <c r="X214">
        <v>7</v>
      </c>
      <c r="Y214">
        <v>9</v>
      </c>
      <c r="Z214" t="s">
        <v>1090</v>
      </c>
      <c r="AA214" t="s">
        <v>520</v>
      </c>
      <c r="AB214" t="s">
        <v>36</v>
      </c>
      <c r="AC214" t="s">
        <v>36</v>
      </c>
      <c r="AD214" t="s">
        <v>36</v>
      </c>
      <c r="AE214" t="s">
        <v>1091</v>
      </c>
      <c r="AF214" t="s">
        <v>805</v>
      </c>
      <c r="AG214" s="1" t="s">
        <v>1092</v>
      </c>
    </row>
    <row r="215" spans="1:33" ht="15" customHeight="1" x14ac:dyDescent="0.25">
      <c r="A215" t="s">
        <v>1093</v>
      </c>
      <c r="B215" t="s">
        <v>1093</v>
      </c>
      <c r="C215">
        <v>6</v>
      </c>
      <c r="D215" t="s">
        <v>34</v>
      </c>
      <c r="E215" t="s">
        <v>120</v>
      </c>
      <c r="F215" t="s">
        <v>121</v>
      </c>
      <c r="G215" t="s">
        <v>122</v>
      </c>
      <c r="H215">
        <v>15</v>
      </c>
      <c r="I215">
        <v>2</v>
      </c>
      <c r="J215" t="s">
        <v>222</v>
      </c>
      <c r="K215">
        <v>152</v>
      </c>
      <c r="L215" t="s">
        <v>659</v>
      </c>
      <c r="M215">
        <v>40</v>
      </c>
      <c r="N215">
        <v>17</v>
      </c>
      <c r="O215">
        <v>15</v>
      </c>
      <c r="P215">
        <v>18</v>
      </c>
      <c r="Q215">
        <v>8</v>
      </c>
      <c r="R215">
        <v>13</v>
      </c>
      <c r="S215">
        <v>8</v>
      </c>
      <c r="T215">
        <v>3</v>
      </c>
      <c r="U215">
        <v>5</v>
      </c>
      <c r="V215">
        <v>4</v>
      </c>
      <c r="W215">
        <v>-1</v>
      </c>
      <c r="X215">
        <v>4</v>
      </c>
      <c r="Y215">
        <v>2</v>
      </c>
      <c r="Z215" t="s">
        <v>36</v>
      </c>
      <c r="AA215" t="s">
        <v>438</v>
      </c>
      <c r="AB215" t="s">
        <v>36</v>
      </c>
      <c r="AC215" t="s">
        <v>320</v>
      </c>
      <c r="AD215" t="s">
        <v>36</v>
      </c>
      <c r="AE215" t="s">
        <v>433</v>
      </c>
      <c r="AF215" t="s">
        <v>129</v>
      </c>
      <c r="AG215" s="1" t="s">
        <v>1094</v>
      </c>
    </row>
    <row r="216" spans="1:33" ht="15" customHeight="1" x14ac:dyDescent="0.25">
      <c r="A216" t="s">
        <v>1095</v>
      </c>
      <c r="B216" t="s">
        <v>1096</v>
      </c>
      <c r="C216">
        <v>0.125</v>
      </c>
      <c r="D216" t="s">
        <v>82</v>
      </c>
      <c r="E216" t="s">
        <v>83</v>
      </c>
      <c r="F216" t="s">
        <v>36</v>
      </c>
      <c r="G216" t="s">
        <v>46</v>
      </c>
      <c r="H216">
        <v>13</v>
      </c>
      <c r="I216">
        <v>0</v>
      </c>
      <c r="J216" t="s">
        <v>390</v>
      </c>
      <c r="K216">
        <v>9</v>
      </c>
      <c r="L216" t="s">
        <v>85</v>
      </c>
      <c r="M216">
        <v>30</v>
      </c>
      <c r="N216">
        <v>13</v>
      </c>
      <c r="O216">
        <v>11</v>
      </c>
      <c r="P216">
        <v>11</v>
      </c>
      <c r="Q216">
        <v>8</v>
      </c>
      <c r="R216">
        <v>11</v>
      </c>
      <c r="S216">
        <v>8</v>
      </c>
      <c r="T216">
        <v>1</v>
      </c>
      <c r="U216">
        <v>0</v>
      </c>
      <c r="V216">
        <v>0</v>
      </c>
      <c r="W216">
        <v>-1</v>
      </c>
      <c r="X216">
        <v>0</v>
      </c>
      <c r="Y216">
        <v>-1</v>
      </c>
      <c r="Z216" t="s">
        <v>36</v>
      </c>
      <c r="AA216" t="s">
        <v>36</v>
      </c>
      <c r="AB216" t="s">
        <v>36</v>
      </c>
      <c r="AC216" t="s">
        <v>36</v>
      </c>
      <c r="AD216" t="s">
        <v>1097</v>
      </c>
      <c r="AE216" t="s">
        <v>99</v>
      </c>
      <c r="AF216" t="s">
        <v>170</v>
      </c>
      <c r="AG216" s="1" t="s">
        <v>1098</v>
      </c>
    </row>
    <row r="217" spans="1:33" ht="15" customHeight="1" x14ac:dyDescent="0.25">
      <c r="A217" t="s">
        <v>1099</v>
      </c>
      <c r="B217" t="s">
        <v>1096</v>
      </c>
      <c r="C217">
        <v>3</v>
      </c>
      <c r="D217" t="s">
        <v>82</v>
      </c>
      <c r="E217" t="s">
        <v>83</v>
      </c>
      <c r="F217" t="s">
        <v>36</v>
      </c>
      <c r="G217" t="s">
        <v>46</v>
      </c>
      <c r="H217">
        <v>17</v>
      </c>
      <c r="I217">
        <v>3</v>
      </c>
      <c r="J217" t="s">
        <v>217</v>
      </c>
      <c r="K217">
        <v>65</v>
      </c>
      <c r="L217" t="s">
        <v>85</v>
      </c>
      <c r="M217">
        <v>30</v>
      </c>
      <c r="N217">
        <v>16</v>
      </c>
      <c r="O217">
        <v>13</v>
      </c>
      <c r="P217">
        <v>14</v>
      </c>
      <c r="Q217">
        <v>10</v>
      </c>
      <c r="R217">
        <v>11</v>
      </c>
      <c r="S217">
        <v>10</v>
      </c>
      <c r="T217">
        <v>3</v>
      </c>
      <c r="U217">
        <v>1</v>
      </c>
      <c r="V217">
        <v>2</v>
      </c>
      <c r="W217">
        <v>0</v>
      </c>
      <c r="X217">
        <v>0</v>
      </c>
      <c r="Y217">
        <v>0</v>
      </c>
      <c r="Z217" t="s">
        <v>1100</v>
      </c>
      <c r="AA217" t="s">
        <v>36</v>
      </c>
      <c r="AB217" t="s">
        <v>36</v>
      </c>
      <c r="AC217" t="s">
        <v>36</v>
      </c>
      <c r="AD217" t="s">
        <v>1101</v>
      </c>
      <c r="AE217" t="s">
        <v>398</v>
      </c>
      <c r="AF217" t="s">
        <v>100</v>
      </c>
      <c r="AG217" s="1" t="s">
        <v>1102</v>
      </c>
    </row>
    <row r="218" spans="1:33" ht="15" customHeight="1" x14ac:dyDescent="0.25">
      <c r="A218" t="s">
        <v>1103</v>
      </c>
      <c r="B218" t="s">
        <v>1103</v>
      </c>
      <c r="C218">
        <v>5</v>
      </c>
      <c r="D218" t="s">
        <v>34</v>
      </c>
      <c r="E218" t="s">
        <v>45</v>
      </c>
      <c r="F218" t="s">
        <v>36</v>
      </c>
      <c r="G218" t="s">
        <v>46</v>
      </c>
      <c r="H218">
        <v>14</v>
      </c>
      <c r="I218">
        <v>2</v>
      </c>
      <c r="J218" t="s">
        <v>310</v>
      </c>
      <c r="K218">
        <v>114</v>
      </c>
      <c r="L218" t="s">
        <v>1104</v>
      </c>
      <c r="M218">
        <v>30</v>
      </c>
      <c r="N218">
        <v>18</v>
      </c>
      <c r="O218">
        <v>14</v>
      </c>
      <c r="P218">
        <v>18</v>
      </c>
      <c r="Q218">
        <v>5</v>
      </c>
      <c r="R218">
        <v>10</v>
      </c>
      <c r="S218">
        <v>8</v>
      </c>
      <c r="T218">
        <v>4</v>
      </c>
      <c r="U218">
        <v>2</v>
      </c>
      <c r="V218">
        <v>4</v>
      </c>
      <c r="W218">
        <v>-3</v>
      </c>
      <c r="X218">
        <v>0</v>
      </c>
      <c r="Y218">
        <v>-1</v>
      </c>
      <c r="Z218" t="s">
        <v>36</v>
      </c>
      <c r="AA218" t="s">
        <v>1105</v>
      </c>
      <c r="AB218" t="s">
        <v>36</v>
      </c>
      <c r="AC218" t="s">
        <v>702</v>
      </c>
      <c r="AD218" t="s">
        <v>36</v>
      </c>
      <c r="AE218" t="s">
        <v>51</v>
      </c>
      <c r="AF218" t="s">
        <v>1106</v>
      </c>
      <c r="AG218" s="1" t="s">
        <v>1107</v>
      </c>
    </row>
    <row r="219" spans="1:33" ht="15" customHeight="1" x14ac:dyDescent="0.25">
      <c r="A219" t="s">
        <v>1108</v>
      </c>
      <c r="B219" t="s">
        <v>1108</v>
      </c>
      <c r="C219">
        <v>5</v>
      </c>
      <c r="D219" t="s">
        <v>82</v>
      </c>
      <c r="E219" t="s">
        <v>76</v>
      </c>
      <c r="F219" t="s">
        <v>1109</v>
      </c>
      <c r="G219" t="s">
        <v>298</v>
      </c>
      <c r="H219">
        <v>15</v>
      </c>
      <c r="I219">
        <v>3</v>
      </c>
      <c r="J219" t="s">
        <v>1110</v>
      </c>
      <c r="K219">
        <v>135</v>
      </c>
      <c r="L219" t="s">
        <v>1111</v>
      </c>
      <c r="M219">
        <v>30</v>
      </c>
      <c r="N219">
        <v>19</v>
      </c>
      <c r="O219">
        <v>10</v>
      </c>
      <c r="P219">
        <v>17</v>
      </c>
      <c r="Q219">
        <v>11</v>
      </c>
      <c r="R219">
        <v>12</v>
      </c>
      <c r="S219">
        <v>12</v>
      </c>
      <c r="T219">
        <v>4</v>
      </c>
      <c r="U219">
        <v>0</v>
      </c>
      <c r="V219">
        <v>3</v>
      </c>
      <c r="W219">
        <v>0</v>
      </c>
      <c r="X219">
        <v>1</v>
      </c>
      <c r="Y219">
        <v>1</v>
      </c>
      <c r="Z219" t="s">
        <v>579</v>
      </c>
      <c r="AA219" t="s">
        <v>36</v>
      </c>
      <c r="AB219" t="s">
        <v>36</v>
      </c>
      <c r="AC219" t="s">
        <v>36</v>
      </c>
      <c r="AD219" t="s">
        <v>1112</v>
      </c>
      <c r="AE219" t="s">
        <v>581</v>
      </c>
      <c r="AF219" t="s">
        <v>1113</v>
      </c>
      <c r="AG219" s="1" t="s">
        <v>1114</v>
      </c>
    </row>
    <row r="220" spans="1:33" ht="15" customHeight="1" x14ac:dyDescent="0.25">
      <c r="A220" t="s">
        <v>1115</v>
      </c>
      <c r="B220" t="s">
        <v>1115</v>
      </c>
      <c r="C220">
        <v>4</v>
      </c>
      <c r="D220" t="s">
        <v>82</v>
      </c>
      <c r="E220" t="s">
        <v>76</v>
      </c>
      <c r="F220" t="s">
        <v>1109</v>
      </c>
      <c r="G220" t="s">
        <v>159</v>
      </c>
      <c r="H220">
        <v>15</v>
      </c>
      <c r="I220">
        <v>2</v>
      </c>
      <c r="J220" t="s">
        <v>84</v>
      </c>
      <c r="K220">
        <v>97</v>
      </c>
      <c r="L220" t="s">
        <v>1116</v>
      </c>
      <c r="M220">
        <v>30</v>
      </c>
      <c r="N220">
        <v>17</v>
      </c>
      <c r="O220">
        <v>10</v>
      </c>
      <c r="P220">
        <v>15</v>
      </c>
      <c r="Q220">
        <v>10</v>
      </c>
      <c r="R220">
        <v>11</v>
      </c>
      <c r="S220">
        <v>8</v>
      </c>
      <c r="T220">
        <v>3</v>
      </c>
      <c r="U220">
        <v>0</v>
      </c>
      <c r="V220">
        <v>2</v>
      </c>
      <c r="W220">
        <v>0</v>
      </c>
      <c r="X220">
        <v>0</v>
      </c>
      <c r="Y220">
        <v>-1</v>
      </c>
      <c r="Z220" t="s">
        <v>631</v>
      </c>
      <c r="AA220" t="s">
        <v>36</v>
      </c>
      <c r="AB220" t="s">
        <v>36</v>
      </c>
      <c r="AC220" t="s">
        <v>36</v>
      </c>
      <c r="AD220" t="s">
        <v>1117</v>
      </c>
      <c r="AE220" t="s">
        <v>398</v>
      </c>
      <c r="AF220" t="s">
        <v>1118</v>
      </c>
      <c r="AG220" s="1" t="s">
        <v>1119</v>
      </c>
    </row>
    <row r="221" spans="1:33" ht="15" customHeight="1" x14ac:dyDescent="0.25">
      <c r="A221" t="s">
        <v>1120</v>
      </c>
      <c r="B221" t="s">
        <v>1120</v>
      </c>
      <c r="C221">
        <v>2</v>
      </c>
      <c r="D221" t="s">
        <v>82</v>
      </c>
      <c r="E221" t="s">
        <v>76</v>
      </c>
      <c r="F221" t="s">
        <v>1109</v>
      </c>
      <c r="G221" t="s">
        <v>37</v>
      </c>
      <c r="H221">
        <v>13</v>
      </c>
      <c r="I221">
        <v>3</v>
      </c>
      <c r="J221" t="s">
        <v>1121</v>
      </c>
      <c r="K221">
        <v>60</v>
      </c>
      <c r="L221" t="s">
        <v>144</v>
      </c>
      <c r="M221">
        <v>30</v>
      </c>
      <c r="N221">
        <v>10</v>
      </c>
      <c r="O221">
        <v>16</v>
      </c>
      <c r="P221">
        <v>12</v>
      </c>
      <c r="Q221">
        <v>11</v>
      </c>
      <c r="R221">
        <v>10</v>
      </c>
      <c r="S221">
        <v>8</v>
      </c>
      <c r="T221">
        <v>0</v>
      </c>
      <c r="U221">
        <v>3</v>
      </c>
      <c r="V221">
        <v>1</v>
      </c>
      <c r="W221">
        <v>0</v>
      </c>
      <c r="X221">
        <v>0</v>
      </c>
      <c r="Y221">
        <v>-1</v>
      </c>
      <c r="Z221" t="s">
        <v>454</v>
      </c>
      <c r="AA221" t="s">
        <v>36</v>
      </c>
      <c r="AB221" t="s">
        <v>36</v>
      </c>
      <c r="AC221" t="s">
        <v>36</v>
      </c>
      <c r="AD221" t="s">
        <v>1122</v>
      </c>
      <c r="AE221" t="s">
        <v>321</v>
      </c>
      <c r="AF221" t="s">
        <v>1123</v>
      </c>
      <c r="AG221" s="1" t="s">
        <v>1124</v>
      </c>
    </row>
    <row r="222" spans="1:33" ht="15" customHeight="1" x14ac:dyDescent="0.25">
      <c r="A222" t="s">
        <v>1125</v>
      </c>
      <c r="B222" t="s">
        <v>1125</v>
      </c>
      <c r="C222">
        <v>4</v>
      </c>
      <c r="D222" t="s">
        <v>82</v>
      </c>
      <c r="E222" t="s">
        <v>76</v>
      </c>
      <c r="F222" t="s">
        <v>1109</v>
      </c>
      <c r="G222" t="s">
        <v>46</v>
      </c>
      <c r="H222">
        <v>12</v>
      </c>
      <c r="I222">
        <v>2</v>
      </c>
      <c r="J222" t="s">
        <v>1126</v>
      </c>
      <c r="K222">
        <v>120</v>
      </c>
      <c r="L222" t="s">
        <v>1127</v>
      </c>
      <c r="M222">
        <v>30</v>
      </c>
      <c r="N222">
        <v>17</v>
      </c>
      <c r="O222">
        <v>15</v>
      </c>
      <c r="P222">
        <v>16</v>
      </c>
      <c r="Q222">
        <v>10</v>
      </c>
      <c r="R222">
        <v>13</v>
      </c>
      <c r="S222">
        <v>11</v>
      </c>
      <c r="T222">
        <v>3</v>
      </c>
      <c r="U222">
        <v>2</v>
      </c>
      <c r="V222">
        <v>3</v>
      </c>
      <c r="W222">
        <v>0</v>
      </c>
      <c r="X222">
        <v>1</v>
      </c>
      <c r="Y222">
        <v>0</v>
      </c>
      <c r="Z222" t="s">
        <v>406</v>
      </c>
      <c r="AA222" t="s">
        <v>36</v>
      </c>
      <c r="AB222" t="s">
        <v>36</v>
      </c>
      <c r="AC222" t="s">
        <v>36</v>
      </c>
      <c r="AD222" t="s">
        <v>1128</v>
      </c>
      <c r="AE222" t="s">
        <v>212</v>
      </c>
      <c r="AF222" t="s">
        <v>1129</v>
      </c>
      <c r="AG222" s="1" t="s">
        <v>1130</v>
      </c>
    </row>
    <row r="223" spans="1:33" ht="15" customHeight="1" x14ac:dyDescent="0.25">
      <c r="A223" t="s">
        <v>1131</v>
      </c>
      <c r="B223" t="s">
        <v>1131</v>
      </c>
      <c r="C223">
        <v>3</v>
      </c>
      <c r="D223" t="s">
        <v>82</v>
      </c>
      <c r="E223" t="s">
        <v>76</v>
      </c>
      <c r="F223" t="s">
        <v>1109</v>
      </c>
      <c r="G223" t="s">
        <v>122</v>
      </c>
      <c r="H223">
        <v>15</v>
      </c>
      <c r="I223">
        <v>4</v>
      </c>
      <c r="J223" t="s">
        <v>1132</v>
      </c>
      <c r="K223">
        <v>71</v>
      </c>
      <c r="L223" t="s">
        <v>1133</v>
      </c>
      <c r="M223">
        <v>30</v>
      </c>
      <c r="N223">
        <v>16</v>
      </c>
      <c r="O223">
        <v>14</v>
      </c>
      <c r="P223">
        <v>14</v>
      </c>
      <c r="Q223">
        <v>10</v>
      </c>
      <c r="R223">
        <v>11</v>
      </c>
      <c r="S223">
        <v>10</v>
      </c>
      <c r="T223">
        <v>3</v>
      </c>
      <c r="U223">
        <v>2</v>
      </c>
      <c r="V223">
        <v>2</v>
      </c>
      <c r="W223">
        <v>0</v>
      </c>
      <c r="X223">
        <v>0</v>
      </c>
      <c r="Y223">
        <v>0</v>
      </c>
      <c r="Z223" t="s">
        <v>177</v>
      </c>
      <c r="AA223" t="s">
        <v>36</v>
      </c>
      <c r="AB223" t="s">
        <v>36</v>
      </c>
      <c r="AC223" t="s">
        <v>36</v>
      </c>
      <c r="AD223" t="s">
        <v>1128</v>
      </c>
      <c r="AE223" t="s">
        <v>321</v>
      </c>
      <c r="AF223" t="s">
        <v>1134</v>
      </c>
      <c r="AG223" s="1" t="s">
        <v>1135</v>
      </c>
    </row>
    <row r="224" spans="1:33" ht="15" customHeight="1" x14ac:dyDescent="0.25">
      <c r="A224" t="s">
        <v>1136</v>
      </c>
      <c r="B224" t="s">
        <v>1137</v>
      </c>
      <c r="C224">
        <v>2</v>
      </c>
      <c r="D224" t="s">
        <v>56</v>
      </c>
      <c r="E224" t="s">
        <v>174</v>
      </c>
      <c r="F224" t="s">
        <v>175</v>
      </c>
      <c r="G224" t="s">
        <v>122</v>
      </c>
      <c r="H224">
        <v>16</v>
      </c>
      <c r="I224">
        <v>2</v>
      </c>
      <c r="J224" t="s">
        <v>1060</v>
      </c>
      <c r="K224">
        <v>32</v>
      </c>
      <c r="L224" t="s">
        <v>1138</v>
      </c>
      <c r="M224">
        <v>30</v>
      </c>
      <c r="N224">
        <v>14</v>
      </c>
      <c r="O224">
        <v>10</v>
      </c>
      <c r="P224">
        <v>14</v>
      </c>
      <c r="Q224">
        <v>5</v>
      </c>
      <c r="R224">
        <v>10</v>
      </c>
      <c r="S224">
        <v>11</v>
      </c>
      <c r="T224">
        <v>2</v>
      </c>
      <c r="U224">
        <v>2</v>
      </c>
      <c r="V224">
        <v>2</v>
      </c>
      <c r="W224">
        <v>-3</v>
      </c>
      <c r="X224">
        <v>2</v>
      </c>
      <c r="Y224">
        <v>0</v>
      </c>
      <c r="Z224" t="s">
        <v>219</v>
      </c>
      <c r="AA224" t="s">
        <v>36</v>
      </c>
      <c r="AB224" t="s">
        <v>36</v>
      </c>
      <c r="AC224" t="s">
        <v>146</v>
      </c>
      <c r="AD224" t="s">
        <v>36</v>
      </c>
      <c r="AE224" t="s">
        <v>179</v>
      </c>
      <c r="AF224" t="s">
        <v>165</v>
      </c>
      <c r="AG224" s="1" t="s">
        <v>1139</v>
      </c>
    </row>
    <row r="225" spans="1:33" ht="15" customHeight="1" x14ac:dyDescent="0.25">
      <c r="A225" t="s">
        <v>1140</v>
      </c>
      <c r="B225" t="s">
        <v>1137</v>
      </c>
      <c r="C225">
        <v>6</v>
      </c>
      <c r="D225" t="s">
        <v>34</v>
      </c>
      <c r="E225" t="s">
        <v>174</v>
      </c>
      <c r="F225" t="s">
        <v>175</v>
      </c>
      <c r="G225" t="s">
        <v>122</v>
      </c>
      <c r="H225">
        <v>17</v>
      </c>
      <c r="I225">
        <v>3</v>
      </c>
      <c r="J225" t="s">
        <v>325</v>
      </c>
      <c r="K225">
        <v>123</v>
      </c>
      <c r="L225" t="s">
        <v>1141</v>
      </c>
      <c r="M225">
        <v>40</v>
      </c>
      <c r="N225">
        <v>18</v>
      </c>
      <c r="O225">
        <v>10</v>
      </c>
      <c r="P225">
        <v>18</v>
      </c>
      <c r="Q225">
        <v>6</v>
      </c>
      <c r="R225">
        <v>11</v>
      </c>
      <c r="S225">
        <v>12</v>
      </c>
      <c r="T225">
        <v>4</v>
      </c>
      <c r="U225">
        <v>3</v>
      </c>
      <c r="V225">
        <v>4</v>
      </c>
      <c r="W225">
        <v>2</v>
      </c>
      <c r="X225">
        <v>3</v>
      </c>
      <c r="Y225">
        <v>1</v>
      </c>
      <c r="Z225" t="s">
        <v>1142</v>
      </c>
      <c r="AA225" t="s">
        <v>36</v>
      </c>
      <c r="AB225" t="s">
        <v>36</v>
      </c>
      <c r="AC225" t="s">
        <v>146</v>
      </c>
      <c r="AD225" t="s">
        <v>36</v>
      </c>
      <c r="AE225" t="s">
        <v>185</v>
      </c>
      <c r="AF225" t="s">
        <v>186</v>
      </c>
      <c r="AG225" s="1" t="s">
        <v>1143</v>
      </c>
    </row>
    <row r="226" spans="1:33" ht="15" customHeight="1" x14ac:dyDescent="0.25">
      <c r="A226" t="s">
        <v>1144</v>
      </c>
      <c r="B226" t="s">
        <v>1137</v>
      </c>
      <c r="C226">
        <v>13</v>
      </c>
      <c r="D226" t="s">
        <v>103</v>
      </c>
      <c r="E226" t="s">
        <v>174</v>
      </c>
      <c r="F226" t="s">
        <v>175</v>
      </c>
      <c r="G226" t="s">
        <v>122</v>
      </c>
      <c r="H226">
        <v>18</v>
      </c>
      <c r="I226">
        <v>10</v>
      </c>
      <c r="J226" t="s">
        <v>340</v>
      </c>
      <c r="K226">
        <v>200</v>
      </c>
      <c r="L226" t="s">
        <v>1145</v>
      </c>
      <c r="M226">
        <v>40</v>
      </c>
      <c r="N226">
        <v>22</v>
      </c>
      <c r="O226">
        <v>10</v>
      </c>
      <c r="P226">
        <v>22</v>
      </c>
      <c r="Q226">
        <v>8</v>
      </c>
      <c r="R226">
        <v>12</v>
      </c>
      <c r="S226">
        <v>12</v>
      </c>
      <c r="T226">
        <v>6</v>
      </c>
      <c r="U226">
        <v>5</v>
      </c>
      <c r="V226">
        <v>6</v>
      </c>
      <c r="W226">
        <v>-1</v>
      </c>
      <c r="X226">
        <v>6</v>
      </c>
      <c r="Y226">
        <v>1</v>
      </c>
      <c r="Z226" t="s">
        <v>1146</v>
      </c>
      <c r="AA226" t="s">
        <v>36</v>
      </c>
      <c r="AB226" t="s">
        <v>36</v>
      </c>
      <c r="AC226" t="s">
        <v>146</v>
      </c>
      <c r="AD226" t="s">
        <v>36</v>
      </c>
      <c r="AE226" t="s">
        <v>191</v>
      </c>
      <c r="AF226" t="s">
        <v>186</v>
      </c>
      <c r="AG226" s="1" t="s">
        <v>1147</v>
      </c>
    </row>
    <row r="227" spans="1:33" ht="15" customHeight="1" x14ac:dyDescent="0.25">
      <c r="A227" t="s">
        <v>1148</v>
      </c>
      <c r="B227" t="s">
        <v>1137</v>
      </c>
      <c r="C227">
        <v>20</v>
      </c>
      <c r="D227" t="s">
        <v>194</v>
      </c>
      <c r="E227" t="s">
        <v>174</v>
      </c>
      <c r="F227" t="s">
        <v>175</v>
      </c>
      <c r="G227" t="s">
        <v>122</v>
      </c>
      <c r="H227">
        <v>20</v>
      </c>
      <c r="I227">
        <v>12</v>
      </c>
      <c r="J227" t="s">
        <v>1149</v>
      </c>
      <c r="K227">
        <v>333</v>
      </c>
      <c r="L227" t="s">
        <v>1150</v>
      </c>
      <c r="M227">
        <v>40</v>
      </c>
      <c r="N227">
        <v>26</v>
      </c>
      <c r="O227">
        <v>10</v>
      </c>
      <c r="P227">
        <v>26</v>
      </c>
      <c r="Q227">
        <v>10</v>
      </c>
      <c r="R227">
        <v>13</v>
      </c>
      <c r="S227">
        <v>18</v>
      </c>
      <c r="T227">
        <v>8</v>
      </c>
      <c r="U227">
        <v>6</v>
      </c>
      <c r="V227">
        <v>8</v>
      </c>
      <c r="W227">
        <v>0</v>
      </c>
      <c r="X227">
        <v>7</v>
      </c>
      <c r="Y227">
        <v>4</v>
      </c>
      <c r="Z227" t="s">
        <v>913</v>
      </c>
      <c r="AA227" t="s">
        <v>36</v>
      </c>
      <c r="AB227" t="s">
        <v>36</v>
      </c>
      <c r="AC227" t="s">
        <v>146</v>
      </c>
      <c r="AD227" t="s">
        <v>36</v>
      </c>
      <c r="AE227" t="s">
        <v>914</v>
      </c>
      <c r="AF227" t="s">
        <v>186</v>
      </c>
      <c r="AG227" s="1" t="s">
        <v>1151</v>
      </c>
    </row>
    <row r="228" spans="1:33" ht="15" customHeight="1" x14ac:dyDescent="0.25">
      <c r="A228" t="s">
        <v>1152</v>
      </c>
      <c r="B228" t="s">
        <v>1152</v>
      </c>
      <c r="C228">
        <v>3</v>
      </c>
      <c r="D228" t="s">
        <v>56</v>
      </c>
      <c r="E228" t="s">
        <v>518</v>
      </c>
      <c r="F228" t="s">
        <v>36</v>
      </c>
      <c r="G228" t="s">
        <v>159</v>
      </c>
      <c r="H228">
        <v>14</v>
      </c>
      <c r="I228">
        <v>4</v>
      </c>
      <c r="J228" t="s">
        <v>606</v>
      </c>
      <c r="K228">
        <v>82</v>
      </c>
      <c r="L228" t="s">
        <v>85</v>
      </c>
      <c r="M228">
        <v>30</v>
      </c>
      <c r="N228">
        <v>15</v>
      </c>
      <c r="O228">
        <v>14</v>
      </c>
      <c r="P228">
        <v>16</v>
      </c>
      <c r="Q228">
        <v>10</v>
      </c>
      <c r="R228">
        <v>13</v>
      </c>
      <c r="S228">
        <v>15</v>
      </c>
      <c r="T228">
        <v>2</v>
      </c>
      <c r="U228">
        <v>2</v>
      </c>
      <c r="V228">
        <v>3</v>
      </c>
      <c r="W228">
        <v>0</v>
      </c>
      <c r="X228">
        <v>1</v>
      </c>
      <c r="Y228">
        <v>2</v>
      </c>
      <c r="Z228" t="s">
        <v>1153</v>
      </c>
      <c r="AA228" t="s">
        <v>520</v>
      </c>
      <c r="AB228" t="s">
        <v>36</v>
      </c>
      <c r="AC228" t="s">
        <v>774</v>
      </c>
      <c r="AD228" t="s">
        <v>448</v>
      </c>
      <c r="AE228" t="s">
        <v>475</v>
      </c>
      <c r="AF228" t="s">
        <v>100</v>
      </c>
      <c r="AG228" s="1" t="s">
        <v>1154</v>
      </c>
    </row>
    <row r="229" spans="1:33" ht="15" customHeight="1" x14ac:dyDescent="0.25">
      <c r="A229" t="s">
        <v>1155</v>
      </c>
      <c r="B229" t="s">
        <v>1155</v>
      </c>
      <c r="C229">
        <v>2</v>
      </c>
      <c r="D229" t="s">
        <v>669</v>
      </c>
      <c r="E229" t="s">
        <v>518</v>
      </c>
      <c r="F229" t="s">
        <v>36</v>
      </c>
      <c r="G229" t="s">
        <v>122</v>
      </c>
      <c r="H229">
        <v>19</v>
      </c>
      <c r="I229">
        <v>9</v>
      </c>
      <c r="J229" t="s">
        <v>1156</v>
      </c>
      <c r="K229">
        <v>27</v>
      </c>
      <c r="L229" t="s">
        <v>68</v>
      </c>
      <c r="M229">
        <v>5</v>
      </c>
      <c r="N229">
        <v>1</v>
      </c>
      <c r="O229">
        <v>28</v>
      </c>
      <c r="P229">
        <v>10</v>
      </c>
      <c r="Q229">
        <v>13</v>
      </c>
      <c r="R229">
        <v>14</v>
      </c>
      <c r="S229">
        <v>11</v>
      </c>
      <c r="T229">
        <v>-5</v>
      </c>
      <c r="U229">
        <v>9</v>
      </c>
      <c r="V229">
        <v>0</v>
      </c>
      <c r="W229">
        <v>1</v>
      </c>
      <c r="X229">
        <v>2</v>
      </c>
      <c r="Y229">
        <v>0</v>
      </c>
      <c r="Z229" t="s">
        <v>36</v>
      </c>
      <c r="AA229" t="s">
        <v>1157</v>
      </c>
      <c r="AB229" t="s">
        <v>36</v>
      </c>
      <c r="AC229" t="s">
        <v>1158</v>
      </c>
      <c r="AD229" t="s">
        <v>36</v>
      </c>
      <c r="AE229" t="s">
        <v>335</v>
      </c>
      <c r="AF229" t="s">
        <v>100</v>
      </c>
      <c r="AG229" s="1" t="s">
        <v>1159</v>
      </c>
    </row>
    <row r="230" spans="1:33" ht="15" customHeight="1" x14ac:dyDescent="0.25">
      <c r="A230" t="s">
        <v>1160</v>
      </c>
      <c r="B230" t="s">
        <v>1160</v>
      </c>
      <c r="C230">
        <v>3</v>
      </c>
      <c r="D230" t="s">
        <v>34</v>
      </c>
      <c r="E230" t="s">
        <v>76</v>
      </c>
      <c r="F230" t="s">
        <v>36</v>
      </c>
      <c r="G230" t="s">
        <v>159</v>
      </c>
      <c r="H230">
        <v>13</v>
      </c>
      <c r="I230">
        <v>1</v>
      </c>
      <c r="J230" t="s">
        <v>1161</v>
      </c>
      <c r="K230">
        <v>75</v>
      </c>
      <c r="L230" t="s">
        <v>109</v>
      </c>
      <c r="M230">
        <v>50</v>
      </c>
      <c r="N230">
        <v>18</v>
      </c>
      <c r="O230">
        <v>13</v>
      </c>
      <c r="P230">
        <v>14</v>
      </c>
      <c r="Q230">
        <v>7</v>
      </c>
      <c r="R230">
        <v>12</v>
      </c>
      <c r="S230">
        <v>8</v>
      </c>
      <c r="T230">
        <v>4</v>
      </c>
      <c r="U230">
        <v>1</v>
      </c>
      <c r="V230">
        <v>2</v>
      </c>
      <c r="W230">
        <v>-2</v>
      </c>
      <c r="X230">
        <v>1</v>
      </c>
      <c r="Y230">
        <v>-1</v>
      </c>
      <c r="Z230" t="s">
        <v>211</v>
      </c>
      <c r="AA230" t="s">
        <v>36</v>
      </c>
      <c r="AB230" t="s">
        <v>36</v>
      </c>
      <c r="AC230" t="s">
        <v>146</v>
      </c>
      <c r="AD230" t="s">
        <v>36</v>
      </c>
      <c r="AE230" t="s">
        <v>449</v>
      </c>
      <c r="AF230" t="s">
        <v>344</v>
      </c>
      <c r="AG230" s="1" t="s">
        <v>1162</v>
      </c>
    </row>
    <row r="231" spans="1:33" ht="15" customHeight="1" x14ac:dyDescent="0.25">
      <c r="A231" t="s">
        <v>1163</v>
      </c>
      <c r="B231" t="s">
        <v>1163</v>
      </c>
      <c r="C231">
        <v>0.5</v>
      </c>
      <c r="D231" t="s">
        <v>34</v>
      </c>
      <c r="E231" t="s">
        <v>207</v>
      </c>
      <c r="F231" t="s">
        <v>36</v>
      </c>
      <c r="G231" t="s">
        <v>159</v>
      </c>
      <c r="H231">
        <v>13</v>
      </c>
      <c r="I231">
        <v>1</v>
      </c>
      <c r="J231" t="s">
        <v>658</v>
      </c>
      <c r="K231">
        <v>26</v>
      </c>
      <c r="L231" t="s">
        <v>109</v>
      </c>
      <c r="M231">
        <v>50</v>
      </c>
      <c r="N231">
        <v>16</v>
      </c>
      <c r="O231">
        <v>13</v>
      </c>
      <c r="P231">
        <v>13</v>
      </c>
      <c r="Q231">
        <v>7</v>
      </c>
      <c r="R231">
        <v>11</v>
      </c>
      <c r="S231">
        <v>8</v>
      </c>
      <c r="T231">
        <v>3</v>
      </c>
      <c r="U231">
        <v>1</v>
      </c>
      <c r="V231">
        <v>1</v>
      </c>
      <c r="W231">
        <v>-2</v>
      </c>
      <c r="X231">
        <v>0</v>
      </c>
      <c r="Y231">
        <v>-1</v>
      </c>
      <c r="Z231" t="s">
        <v>319</v>
      </c>
      <c r="AA231" t="s">
        <v>36</v>
      </c>
      <c r="AB231" t="s">
        <v>36</v>
      </c>
      <c r="AC231" t="s">
        <v>36</v>
      </c>
      <c r="AD231" t="s">
        <v>36</v>
      </c>
      <c r="AE231" t="s">
        <v>321</v>
      </c>
      <c r="AF231" t="s">
        <v>1164</v>
      </c>
      <c r="AG231" s="1" t="s">
        <v>1165</v>
      </c>
    </row>
    <row r="232" spans="1:33" ht="15" customHeight="1" x14ac:dyDescent="0.25">
      <c r="A232" t="s">
        <v>1166</v>
      </c>
      <c r="B232" t="s">
        <v>1166</v>
      </c>
      <c r="C232">
        <v>5</v>
      </c>
      <c r="D232" t="s">
        <v>82</v>
      </c>
      <c r="E232" t="s">
        <v>518</v>
      </c>
      <c r="F232" t="s">
        <v>36</v>
      </c>
      <c r="G232" t="s">
        <v>159</v>
      </c>
      <c r="H232">
        <v>13</v>
      </c>
      <c r="I232">
        <v>3</v>
      </c>
      <c r="J232" t="s">
        <v>168</v>
      </c>
      <c r="K232">
        <v>67</v>
      </c>
      <c r="L232" t="s">
        <v>1167</v>
      </c>
      <c r="M232">
        <v>5</v>
      </c>
      <c r="N232">
        <v>6</v>
      </c>
      <c r="O232">
        <v>16</v>
      </c>
      <c r="P232">
        <v>16</v>
      </c>
      <c r="Q232">
        <v>12</v>
      </c>
      <c r="R232">
        <v>14</v>
      </c>
      <c r="S232">
        <v>15</v>
      </c>
      <c r="T232">
        <v>-2</v>
      </c>
      <c r="U232">
        <v>3</v>
      </c>
      <c r="V232">
        <v>3</v>
      </c>
      <c r="W232">
        <v>1</v>
      </c>
      <c r="X232">
        <v>2</v>
      </c>
      <c r="Y232">
        <v>2</v>
      </c>
      <c r="Z232" t="s">
        <v>36</v>
      </c>
      <c r="AA232" t="s">
        <v>1168</v>
      </c>
      <c r="AB232" t="s">
        <v>36</v>
      </c>
      <c r="AC232" t="s">
        <v>1004</v>
      </c>
      <c r="AD232" t="s">
        <v>36</v>
      </c>
      <c r="AE232" t="s">
        <v>612</v>
      </c>
      <c r="AF232" t="s">
        <v>805</v>
      </c>
      <c r="AG232" s="1" t="s">
        <v>1169</v>
      </c>
    </row>
    <row r="233" spans="1:33" ht="15" customHeight="1" x14ac:dyDescent="0.25">
      <c r="A233" t="s">
        <v>1170</v>
      </c>
      <c r="B233" t="s">
        <v>1170</v>
      </c>
      <c r="C233">
        <v>6</v>
      </c>
      <c r="D233" t="s">
        <v>34</v>
      </c>
      <c r="E233" t="s">
        <v>174</v>
      </c>
      <c r="F233" t="s">
        <v>36</v>
      </c>
      <c r="G233" t="s">
        <v>58</v>
      </c>
      <c r="H233">
        <v>14</v>
      </c>
      <c r="I233">
        <v>0</v>
      </c>
      <c r="J233" t="s">
        <v>182</v>
      </c>
      <c r="K233">
        <v>127</v>
      </c>
      <c r="L233" t="s">
        <v>616</v>
      </c>
      <c r="M233">
        <v>30</v>
      </c>
      <c r="N233">
        <v>19</v>
      </c>
      <c r="O233">
        <v>10</v>
      </c>
      <c r="P233">
        <v>16</v>
      </c>
      <c r="Q233">
        <v>5</v>
      </c>
      <c r="R233">
        <v>12</v>
      </c>
      <c r="S233">
        <v>6</v>
      </c>
      <c r="T233">
        <v>4</v>
      </c>
      <c r="U233">
        <v>0</v>
      </c>
      <c r="V233">
        <v>3</v>
      </c>
      <c r="W233">
        <v>-3</v>
      </c>
      <c r="X233">
        <v>1</v>
      </c>
      <c r="Y233">
        <v>-2</v>
      </c>
      <c r="Z233" t="s">
        <v>319</v>
      </c>
      <c r="AA233" t="s">
        <v>36</v>
      </c>
      <c r="AB233" t="s">
        <v>36</v>
      </c>
      <c r="AC233" t="s">
        <v>36</v>
      </c>
      <c r="AD233" t="s">
        <v>36</v>
      </c>
      <c r="AE233" t="s">
        <v>1171</v>
      </c>
      <c r="AF233" t="s">
        <v>63</v>
      </c>
      <c r="AG233" s="1" t="s">
        <v>1172</v>
      </c>
    </row>
    <row r="234" spans="1:33" ht="15" customHeight="1" x14ac:dyDescent="0.25">
      <c r="A234" t="s">
        <v>1173</v>
      </c>
      <c r="B234" t="s">
        <v>1173</v>
      </c>
      <c r="C234">
        <v>5</v>
      </c>
      <c r="D234" t="s">
        <v>56</v>
      </c>
      <c r="E234" t="s">
        <v>45</v>
      </c>
      <c r="F234" t="s">
        <v>36</v>
      </c>
      <c r="G234" t="s">
        <v>46</v>
      </c>
      <c r="H234">
        <v>19</v>
      </c>
      <c r="I234">
        <v>0</v>
      </c>
      <c r="J234" t="s">
        <v>1174</v>
      </c>
      <c r="K234">
        <v>84</v>
      </c>
      <c r="L234" t="s">
        <v>1175</v>
      </c>
      <c r="M234">
        <v>20</v>
      </c>
      <c r="N234">
        <v>17</v>
      </c>
      <c r="O234">
        <v>10</v>
      </c>
      <c r="P234">
        <v>22</v>
      </c>
      <c r="Q234">
        <v>11</v>
      </c>
      <c r="R234">
        <v>10</v>
      </c>
      <c r="S234">
        <v>11</v>
      </c>
      <c r="T234">
        <v>3</v>
      </c>
      <c r="U234">
        <v>0</v>
      </c>
      <c r="V234">
        <v>6</v>
      </c>
      <c r="W234">
        <v>0</v>
      </c>
      <c r="X234">
        <v>0</v>
      </c>
      <c r="Y234">
        <v>0</v>
      </c>
      <c r="Z234" t="s">
        <v>1176</v>
      </c>
      <c r="AA234" t="s">
        <v>36</v>
      </c>
      <c r="AB234" t="s">
        <v>36</v>
      </c>
      <c r="AC234" t="s">
        <v>1177</v>
      </c>
      <c r="AD234" t="s">
        <v>36</v>
      </c>
      <c r="AE234" t="s">
        <v>1178</v>
      </c>
      <c r="AF234" t="s">
        <v>462</v>
      </c>
      <c r="AG234" s="1" t="s">
        <v>1179</v>
      </c>
    </row>
    <row r="235" spans="1:33" ht="15" customHeight="1" x14ac:dyDescent="0.25">
      <c r="A235" t="s">
        <v>1180</v>
      </c>
      <c r="B235" t="s">
        <v>1181</v>
      </c>
      <c r="C235">
        <v>0.25</v>
      </c>
      <c r="D235" t="s">
        <v>56</v>
      </c>
      <c r="E235" t="s">
        <v>518</v>
      </c>
      <c r="F235" t="s">
        <v>36</v>
      </c>
      <c r="G235" t="s">
        <v>159</v>
      </c>
      <c r="H235">
        <v>8</v>
      </c>
      <c r="I235">
        <v>-2</v>
      </c>
      <c r="J235" t="s">
        <v>1182</v>
      </c>
      <c r="K235">
        <v>15</v>
      </c>
      <c r="L235" t="s">
        <v>96</v>
      </c>
      <c r="M235">
        <v>20</v>
      </c>
      <c r="N235">
        <v>13</v>
      </c>
      <c r="O235">
        <v>6</v>
      </c>
      <c r="P235">
        <v>16</v>
      </c>
      <c r="Q235">
        <v>3</v>
      </c>
      <c r="R235">
        <v>6</v>
      </c>
      <c r="S235">
        <v>5</v>
      </c>
      <c r="T235">
        <v>1</v>
      </c>
      <c r="U235">
        <v>-2</v>
      </c>
      <c r="V235">
        <v>3</v>
      </c>
      <c r="W235">
        <v>-4</v>
      </c>
      <c r="X235">
        <v>0</v>
      </c>
      <c r="Y235">
        <v>-3</v>
      </c>
      <c r="Z235" t="s">
        <v>36</v>
      </c>
      <c r="AA235" t="s">
        <v>36</v>
      </c>
      <c r="AB235" t="s">
        <v>36</v>
      </c>
      <c r="AC235" t="s">
        <v>774</v>
      </c>
      <c r="AD235" t="s">
        <v>36</v>
      </c>
      <c r="AE235" t="s">
        <v>717</v>
      </c>
      <c r="AF235" t="s">
        <v>492</v>
      </c>
      <c r="AG235" s="1" t="s">
        <v>1183</v>
      </c>
    </row>
    <row r="236" spans="1:33" ht="15" customHeight="1" x14ac:dyDescent="0.25">
      <c r="A236" t="s">
        <v>1184</v>
      </c>
      <c r="B236" t="s">
        <v>1181</v>
      </c>
      <c r="C236">
        <v>2</v>
      </c>
      <c r="D236" t="s">
        <v>34</v>
      </c>
      <c r="E236" t="s">
        <v>518</v>
      </c>
      <c r="F236" t="s">
        <v>36</v>
      </c>
      <c r="G236" t="s">
        <v>159</v>
      </c>
      <c r="H236">
        <v>8</v>
      </c>
      <c r="I236">
        <v>-2</v>
      </c>
      <c r="J236" t="s">
        <v>1185</v>
      </c>
      <c r="K236">
        <v>85</v>
      </c>
      <c r="L236" t="s">
        <v>85</v>
      </c>
      <c r="M236">
        <v>30</v>
      </c>
      <c r="N236">
        <v>19</v>
      </c>
      <c r="O236">
        <v>6</v>
      </c>
      <c r="P236">
        <v>18</v>
      </c>
      <c r="Q236">
        <v>3</v>
      </c>
      <c r="R236">
        <v>6</v>
      </c>
      <c r="S236">
        <v>5</v>
      </c>
      <c r="T236">
        <v>4</v>
      </c>
      <c r="U236">
        <v>-2</v>
      </c>
      <c r="V236">
        <v>4</v>
      </c>
      <c r="W236">
        <v>-4</v>
      </c>
      <c r="X236">
        <v>0</v>
      </c>
      <c r="Y236">
        <v>-3</v>
      </c>
      <c r="Z236" t="s">
        <v>36</v>
      </c>
      <c r="AA236" t="s">
        <v>36</v>
      </c>
      <c r="AB236" t="s">
        <v>36</v>
      </c>
      <c r="AC236" t="s">
        <v>774</v>
      </c>
      <c r="AD236" t="s">
        <v>36</v>
      </c>
      <c r="AE236" t="s">
        <v>717</v>
      </c>
      <c r="AF236" t="s">
        <v>1186</v>
      </c>
      <c r="AG236" s="1" t="s">
        <v>1187</v>
      </c>
    </row>
    <row r="237" spans="1:33" ht="15" customHeight="1" x14ac:dyDescent="0.25">
      <c r="A237" t="s">
        <v>1188</v>
      </c>
      <c r="B237" t="s">
        <v>1189</v>
      </c>
      <c r="C237">
        <v>2</v>
      </c>
      <c r="D237" t="s">
        <v>34</v>
      </c>
      <c r="E237" t="s">
        <v>1190</v>
      </c>
      <c r="F237" t="s">
        <v>1191</v>
      </c>
      <c r="G237" t="s">
        <v>58</v>
      </c>
      <c r="H237">
        <v>13</v>
      </c>
      <c r="I237">
        <v>1</v>
      </c>
      <c r="J237" t="s">
        <v>1192</v>
      </c>
      <c r="K237">
        <v>51</v>
      </c>
      <c r="L237" t="s">
        <v>990</v>
      </c>
      <c r="M237">
        <v>60</v>
      </c>
      <c r="N237">
        <v>19</v>
      </c>
      <c r="O237">
        <v>13</v>
      </c>
      <c r="P237">
        <v>17</v>
      </c>
      <c r="Q237">
        <v>2</v>
      </c>
      <c r="R237">
        <v>12</v>
      </c>
      <c r="S237">
        <v>5</v>
      </c>
      <c r="T237">
        <v>4</v>
      </c>
      <c r="U237">
        <v>1</v>
      </c>
      <c r="V237">
        <v>3</v>
      </c>
      <c r="W237">
        <v>-4</v>
      </c>
      <c r="X237">
        <v>1</v>
      </c>
      <c r="Y237">
        <v>-3</v>
      </c>
      <c r="Z237" t="s">
        <v>617</v>
      </c>
      <c r="AA237" t="s">
        <v>36</v>
      </c>
      <c r="AB237" t="s">
        <v>36</v>
      </c>
      <c r="AC237" t="s">
        <v>36</v>
      </c>
      <c r="AD237" t="s">
        <v>36</v>
      </c>
      <c r="AE237" t="s">
        <v>449</v>
      </c>
      <c r="AF237" t="s">
        <v>63</v>
      </c>
      <c r="AG237" s="1" t="s">
        <v>1193</v>
      </c>
    </row>
    <row r="238" spans="1:33" ht="15" customHeight="1" x14ac:dyDescent="0.25">
      <c r="A238" t="s">
        <v>1194</v>
      </c>
      <c r="B238" t="s">
        <v>1189</v>
      </c>
      <c r="C238">
        <v>3</v>
      </c>
      <c r="D238" t="s">
        <v>103</v>
      </c>
      <c r="E238" t="s">
        <v>1190</v>
      </c>
      <c r="F238" t="s">
        <v>1191</v>
      </c>
      <c r="G238" t="s">
        <v>58</v>
      </c>
      <c r="H238">
        <v>15</v>
      </c>
      <c r="I238">
        <v>0</v>
      </c>
      <c r="J238" t="s">
        <v>1195</v>
      </c>
      <c r="K238">
        <v>68</v>
      </c>
      <c r="L238" t="s">
        <v>85</v>
      </c>
      <c r="M238">
        <v>30</v>
      </c>
      <c r="N238">
        <v>19</v>
      </c>
      <c r="O238">
        <v>11</v>
      </c>
      <c r="P238">
        <v>15</v>
      </c>
      <c r="Q238">
        <v>2</v>
      </c>
      <c r="R238">
        <v>12</v>
      </c>
      <c r="S238">
        <v>5</v>
      </c>
      <c r="T238">
        <v>6</v>
      </c>
      <c r="U238">
        <v>0</v>
      </c>
      <c r="V238">
        <v>2</v>
      </c>
      <c r="W238">
        <v>-4</v>
      </c>
      <c r="X238">
        <v>1</v>
      </c>
      <c r="Y238">
        <v>-3</v>
      </c>
      <c r="Z238" t="s">
        <v>36</v>
      </c>
      <c r="AA238" t="s">
        <v>36</v>
      </c>
      <c r="AB238" t="s">
        <v>36</v>
      </c>
      <c r="AC238" t="s">
        <v>36</v>
      </c>
      <c r="AD238" t="s">
        <v>36</v>
      </c>
      <c r="AE238" t="s">
        <v>116</v>
      </c>
      <c r="AF238" t="s">
        <v>63</v>
      </c>
      <c r="AG238" s="1" t="s">
        <v>1196</v>
      </c>
    </row>
    <row r="239" spans="1:33" ht="15" customHeight="1" x14ac:dyDescent="0.25">
      <c r="A239" t="s">
        <v>1197</v>
      </c>
      <c r="B239" t="s">
        <v>1189</v>
      </c>
      <c r="C239">
        <v>0.5</v>
      </c>
      <c r="D239" t="s">
        <v>56</v>
      </c>
      <c r="E239" t="s">
        <v>1190</v>
      </c>
      <c r="F239" t="s">
        <v>36</v>
      </c>
      <c r="G239" t="s">
        <v>58</v>
      </c>
      <c r="H239">
        <v>12</v>
      </c>
      <c r="I239">
        <v>2</v>
      </c>
      <c r="J239" t="s">
        <v>1198</v>
      </c>
      <c r="K239">
        <v>19</v>
      </c>
      <c r="L239" t="s">
        <v>144</v>
      </c>
      <c r="M239">
        <v>30</v>
      </c>
      <c r="N239">
        <v>16</v>
      </c>
      <c r="O239">
        <v>14</v>
      </c>
      <c r="P239">
        <v>14</v>
      </c>
      <c r="Q239">
        <v>6</v>
      </c>
      <c r="R239">
        <v>12</v>
      </c>
      <c r="S239">
        <v>7</v>
      </c>
      <c r="T239">
        <v>3</v>
      </c>
      <c r="U239">
        <v>2</v>
      </c>
      <c r="V239">
        <v>2</v>
      </c>
      <c r="W239">
        <v>-2</v>
      </c>
      <c r="X239">
        <v>1</v>
      </c>
      <c r="Y239">
        <v>-2</v>
      </c>
      <c r="Z239" t="s">
        <v>1199</v>
      </c>
      <c r="AA239" t="s">
        <v>36</v>
      </c>
      <c r="AB239" t="s">
        <v>36</v>
      </c>
      <c r="AC239" t="s">
        <v>36</v>
      </c>
      <c r="AD239" t="s">
        <v>36</v>
      </c>
      <c r="AE239" t="s">
        <v>301</v>
      </c>
      <c r="AF239" t="s">
        <v>63</v>
      </c>
      <c r="AG239" s="1" t="s">
        <v>1200</v>
      </c>
    </row>
    <row r="240" spans="1:33" ht="15" customHeight="1" x14ac:dyDescent="0.25">
      <c r="A240" t="s">
        <v>1201</v>
      </c>
      <c r="B240" t="s">
        <v>1189</v>
      </c>
      <c r="C240">
        <v>4</v>
      </c>
      <c r="D240" t="s">
        <v>103</v>
      </c>
      <c r="E240" t="s">
        <v>1190</v>
      </c>
      <c r="F240" t="s">
        <v>1191</v>
      </c>
      <c r="G240" t="s">
        <v>58</v>
      </c>
      <c r="H240">
        <v>17</v>
      </c>
      <c r="I240">
        <v>3</v>
      </c>
      <c r="J240" t="s">
        <v>1202</v>
      </c>
      <c r="K240">
        <v>90</v>
      </c>
      <c r="L240" t="s">
        <v>1203</v>
      </c>
      <c r="M240">
        <v>20</v>
      </c>
      <c r="N240">
        <v>18</v>
      </c>
      <c r="O240">
        <v>16</v>
      </c>
      <c r="P240">
        <v>13</v>
      </c>
      <c r="Q240">
        <v>4</v>
      </c>
      <c r="R240">
        <v>14</v>
      </c>
      <c r="S240">
        <v>6</v>
      </c>
      <c r="T240">
        <v>4</v>
      </c>
      <c r="U240">
        <v>3</v>
      </c>
      <c r="V240">
        <v>1</v>
      </c>
      <c r="W240">
        <v>-3</v>
      </c>
      <c r="X240">
        <v>2</v>
      </c>
      <c r="Y240">
        <v>-2</v>
      </c>
      <c r="Z240" t="s">
        <v>333</v>
      </c>
      <c r="AA240" t="s">
        <v>36</v>
      </c>
      <c r="AB240" t="s">
        <v>36</v>
      </c>
      <c r="AC240" t="s">
        <v>36</v>
      </c>
      <c r="AD240" t="s">
        <v>36</v>
      </c>
      <c r="AE240" t="s">
        <v>398</v>
      </c>
      <c r="AF240" t="s">
        <v>63</v>
      </c>
      <c r="AG240" s="1" t="s">
        <v>1204</v>
      </c>
    </row>
    <row r="241" spans="1:33" ht="15" customHeight="1" x14ac:dyDescent="0.25">
      <c r="A241" t="s">
        <v>1205</v>
      </c>
      <c r="B241" t="s">
        <v>1189</v>
      </c>
      <c r="C241">
        <v>0</v>
      </c>
      <c r="D241" t="s">
        <v>66</v>
      </c>
      <c r="E241" t="s">
        <v>1190</v>
      </c>
      <c r="F241" t="s">
        <v>36</v>
      </c>
      <c r="G241" t="s">
        <v>58</v>
      </c>
      <c r="H241">
        <v>12</v>
      </c>
      <c r="I241">
        <v>2</v>
      </c>
      <c r="J241" t="s">
        <v>1206</v>
      </c>
      <c r="K241">
        <v>3</v>
      </c>
      <c r="L241" t="s">
        <v>144</v>
      </c>
      <c r="M241">
        <v>30</v>
      </c>
      <c r="N241">
        <v>8</v>
      </c>
      <c r="O241">
        <v>14</v>
      </c>
      <c r="P241">
        <v>11</v>
      </c>
      <c r="Q241">
        <v>4</v>
      </c>
      <c r="R241">
        <v>12</v>
      </c>
      <c r="S241">
        <v>6</v>
      </c>
      <c r="T241">
        <v>-1</v>
      </c>
      <c r="U241">
        <v>2</v>
      </c>
      <c r="V241">
        <v>0</v>
      </c>
      <c r="W241">
        <v>-3</v>
      </c>
      <c r="X241">
        <v>1</v>
      </c>
      <c r="Y241">
        <v>-2</v>
      </c>
      <c r="Z241" t="s">
        <v>36</v>
      </c>
      <c r="AA241" t="s">
        <v>36</v>
      </c>
      <c r="AB241" t="s">
        <v>36</v>
      </c>
      <c r="AC241" t="s">
        <v>36</v>
      </c>
      <c r="AD241" t="s">
        <v>36</v>
      </c>
      <c r="AE241" t="s">
        <v>116</v>
      </c>
      <c r="AF241" t="s">
        <v>63</v>
      </c>
      <c r="AG241" s="1" t="s">
        <v>1207</v>
      </c>
    </row>
    <row r="242" spans="1:33" ht="15" customHeight="1" x14ac:dyDescent="0.25">
      <c r="A242" t="s">
        <v>1208</v>
      </c>
      <c r="B242" t="s">
        <v>1189</v>
      </c>
      <c r="C242">
        <v>0</v>
      </c>
      <c r="D242" t="s">
        <v>669</v>
      </c>
      <c r="E242" t="s">
        <v>1190</v>
      </c>
      <c r="F242" t="s">
        <v>36</v>
      </c>
      <c r="G242" t="s">
        <v>58</v>
      </c>
      <c r="H242">
        <v>11</v>
      </c>
      <c r="I242">
        <v>0</v>
      </c>
      <c r="J242" t="s">
        <v>1209</v>
      </c>
      <c r="K242">
        <v>5</v>
      </c>
      <c r="L242" t="s">
        <v>1210</v>
      </c>
      <c r="M242">
        <v>20</v>
      </c>
      <c r="N242">
        <v>10</v>
      </c>
      <c r="O242">
        <v>11</v>
      </c>
      <c r="P242">
        <v>16</v>
      </c>
      <c r="Q242">
        <v>2</v>
      </c>
      <c r="R242">
        <v>12</v>
      </c>
      <c r="S242">
        <v>5</v>
      </c>
      <c r="T242">
        <v>0</v>
      </c>
      <c r="U242">
        <v>0</v>
      </c>
      <c r="V242">
        <v>3</v>
      </c>
      <c r="W242">
        <v>-4</v>
      </c>
      <c r="X242">
        <v>1</v>
      </c>
      <c r="Y242">
        <v>-3</v>
      </c>
      <c r="Z242" t="s">
        <v>1211</v>
      </c>
      <c r="AA242" t="s">
        <v>87</v>
      </c>
      <c r="AB242" t="s">
        <v>36</v>
      </c>
      <c r="AC242" t="s">
        <v>36</v>
      </c>
      <c r="AD242" t="s">
        <v>36</v>
      </c>
      <c r="AE242" t="s">
        <v>1212</v>
      </c>
      <c r="AF242" t="s">
        <v>63</v>
      </c>
      <c r="AG242" s="1" t="s">
        <v>1213</v>
      </c>
    </row>
    <row r="243" spans="1:33" ht="15" customHeight="1" x14ac:dyDescent="0.25">
      <c r="A243" t="s">
        <v>1214</v>
      </c>
      <c r="B243" t="s">
        <v>1189</v>
      </c>
      <c r="C243">
        <v>0</v>
      </c>
      <c r="D243" t="s">
        <v>669</v>
      </c>
      <c r="E243" t="s">
        <v>1190</v>
      </c>
      <c r="F243" t="s">
        <v>36</v>
      </c>
      <c r="G243" t="s">
        <v>58</v>
      </c>
      <c r="H243">
        <v>12</v>
      </c>
      <c r="I243">
        <v>2</v>
      </c>
      <c r="J243" t="s">
        <v>1215</v>
      </c>
      <c r="K243">
        <v>1</v>
      </c>
      <c r="L243" t="s">
        <v>1216</v>
      </c>
      <c r="M243">
        <v>5</v>
      </c>
      <c r="N243">
        <v>2</v>
      </c>
      <c r="O243">
        <v>15</v>
      </c>
      <c r="P243">
        <v>8</v>
      </c>
      <c r="Q243">
        <v>2</v>
      </c>
      <c r="R243">
        <v>12</v>
      </c>
      <c r="S243">
        <v>4</v>
      </c>
      <c r="T243">
        <v>-4</v>
      </c>
      <c r="U243">
        <v>2</v>
      </c>
      <c r="V243">
        <v>-1</v>
      </c>
      <c r="W243">
        <v>-4</v>
      </c>
      <c r="X243">
        <v>1</v>
      </c>
      <c r="Y243">
        <v>-3</v>
      </c>
      <c r="Z243" t="s">
        <v>36</v>
      </c>
      <c r="AA243" t="s">
        <v>36</v>
      </c>
      <c r="AB243" t="s">
        <v>36</v>
      </c>
      <c r="AC243" t="s">
        <v>36</v>
      </c>
      <c r="AD243" t="s">
        <v>36</v>
      </c>
      <c r="AE243" t="s">
        <v>1217</v>
      </c>
      <c r="AF243" t="s">
        <v>63</v>
      </c>
      <c r="AG243" s="1" t="s">
        <v>1218</v>
      </c>
    </row>
    <row r="244" spans="1:33" ht="15" customHeight="1" x14ac:dyDescent="0.25">
      <c r="A244" t="s">
        <v>1219</v>
      </c>
      <c r="B244" t="s">
        <v>1189</v>
      </c>
      <c r="C244">
        <v>0.5</v>
      </c>
      <c r="D244" t="s">
        <v>56</v>
      </c>
      <c r="E244" t="s">
        <v>1190</v>
      </c>
      <c r="F244" t="s">
        <v>36</v>
      </c>
      <c r="G244" t="s">
        <v>58</v>
      </c>
      <c r="H244">
        <v>11</v>
      </c>
      <c r="I244">
        <v>1</v>
      </c>
      <c r="J244" t="s">
        <v>1198</v>
      </c>
      <c r="K244">
        <v>19</v>
      </c>
      <c r="L244" t="s">
        <v>1220</v>
      </c>
      <c r="M244">
        <v>30</v>
      </c>
      <c r="N244">
        <v>15</v>
      </c>
      <c r="O244">
        <v>12</v>
      </c>
      <c r="P244">
        <v>14</v>
      </c>
      <c r="Q244">
        <v>2</v>
      </c>
      <c r="R244">
        <v>12</v>
      </c>
      <c r="S244">
        <v>7</v>
      </c>
      <c r="T244">
        <v>2</v>
      </c>
      <c r="U244">
        <v>1</v>
      </c>
      <c r="V244">
        <v>2</v>
      </c>
      <c r="W244">
        <v>-4</v>
      </c>
      <c r="X244">
        <v>1</v>
      </c>
      <c r="Y244">
        <v>-2</v>
      </c>
      <c r="Z244" t="s">
        <v>617</v>
      </c>
      <c r="AA244" t="s">
        <v>36</v>
      </c>
      <c r="AB244" t="s">
        <v>36</v>
      </c>
      <c r="AC244" t="s">
        <v>36</v>
      </c>
      <c r="AD244" t="s">
        <v>36</v>
      </c>
      <c r="AE244" t="s">
        <v>212</v>
      </c>
      <c r="AF244" t="s">
        <v>63</v>
      </c>
      <c r="AG244" s="1" t="s">
        <v>1221</v>
      </c>
    </row>
    <row r="245" spans="1:33" ht="15" customHeight="1" x14ac:dyDescent="0.25">
      <c r="A245" t="s">
        <v>1222</v>
      </c>
      <c r="B245" t="s">
        <v>1189</v>
      </c>
      <c r="C245">
        <v>0.125</v>
      </c>
      <c r="D245" t="s">
        <v>66</v>
      </c>
      <c r="E245" t="s">
        <v>1190</v>
      </c>
      <c r="F245" t="s">
        <v>36</v>
      </c>
      <c r="G245" t="s">
        <v>58</v>
      </c>
      <c r="H245">
        <v>12</v>
      </c>
      <c r="I245">
        <v>2</v>
      </c>
      <c r="J245" t="s">
        <v>552</v>
      </c>
      <c r="K245">
        <v>7</v>
      </c>
      <c r="L245" t="s">
        <v>1223</v>
      </c>
      <c r="M245">
        <v>10</v>
      </c>
      <c r="N245">
        <v>6</v>
      </c>
      <c r="O245">
        <v>14</v>
      </c>
      <c r="P245">
        <v>10</v>
      </c>
      <c r="Q245">
        <v>3</v>
      </c>
      <c r="R245">
        <v>14</v>
      </c>
      <c r="S245">
        <v>5</v>
      </c>
      <c r="T245">
        <v>-2</v>
      </c>
      <c r="U245">
        <v>2</v>
      </c>
      <c r="V245">
        <v>0</v>
      </c>
      <c r="W245">
        <v>-4</v>
      </c>
      <c r="X245">
        <v>2</v>
      </c>
      <c r="Y245">
        <v>-3</v>
      </c>
      <c r="Z245" t="s">
        <v>293</v>
      </c>
      <c r="AA245" t="s">
        <v>36</v>
      </c>
      <c r="AB245" t="s">
        <v>36</v>
      </c>
      <c r="AC245" t="s">
        <v>36</v>
      </c>
      <c r="AD245" t="s">
        <v>36</v>
      </c>
      <c r="AE245" t="s">
        <v>89</v>
      </c>
      <c r="AF245" t="s">
        <v>63</v>
      </c>
      <c r="AG245" s="1" t="s">
        <v>1224</v>
      </c>
    </row>
    <row r="246" spans="1:33" ht="15" customHeight="1" x14ac:dyDescent="0.25">
      <c r="A246" t="s">
        <v>1225</v>
      </c>
      <c r="B246" t="s">
        <v>1189</v>
      </c>
      <c r="C246">
        <v>0.25</v>
      </c>
      <c r="D246" t="s">
        <v>56</v>
      </c>
      <c r="E246" t="s">
        <v>1190</v>
      </c>
      <c r="F246" t="s">
        <v>36</v>
      </c>
      <c r="G246" t="s">
        <v>58</v>
      </c>
      <c r="H246">
        <v>11</v>
      </c>
      <c r="I246">
        <v>0</v>
      </c>
      <c r="J246" t="s">
        <v>984</v>
      </c>
      <c r="K246">
        <v>13</v>
      </c>
      <c r="L246" t="s">
        <v>210</v>
      </c>
      <c r="M246">
        <v>40</v>
      </c>
      <c r="N246">
        <v>13</v>
      </c>
      <c r="O246">
        <v>11</v>
      </c>
      <c r="P246">
        <v>14</v>
      </c>
      <c r="Q246">
        <v>2</v>
      </c>
      <c r="R246">
        <v>9</v>
      </c>
      <c r="S246">
        <v>5</v>
      </c>
      <c r="T246">
        <v>1</v>
      </c>
      <c r="U246">
        <v>0</v>
      </c>
      <c r="V246">
        <v>2</v>
      </c>
      <c r="W246">
        <v>-4</v>
      </c>
      <c r="X246">
        <v>-1</v>
      </c>
      <c r="Y246">
        <v>-3</v>
      </c>
      <c r="Z246" t="s">
        <v>36</v>
      </c>
      <c r="AA246" t="s">
        <v>36</v>
      </c>
      <c r="AB246" t="s">
        <v>36</v>
      </c>
      <c r="AC246" t="s">
        <v>36</v>
      </c>
      <c r="AD246" t="s">
        <v>36</v>
      </c>
      <c r="AE246" t="s">
        <v>1226</v>
      </c>
      <c r="AF246" t="s">
        <v>63</v>
      </c>
      <c r="AG246" s="1" t="s">
        <v>1227</v>
      </c>
    </row>
    <row r="247" spans="1:33" ht="15" customHeight="1" x14ac:dyDescent="0.25">
      <c r="A247" t="s">
        <v>1228</v>
      </c>
      <c r="B247" t="s">
        <v>1189</v>
      </c>
      <c r="C247">
        <v>1</v>
      </c>
      <c r="D247" t="s">
        <v>34</v>
      </c>
      <c r="E247" t="s">
        <v>1190</v>
      </c>
      <c r="F247" t="s">
        <v>36</v>
      </c>
      <c r="G247" t="s">
        <v>58</v>
      </c>
      <c r="H247">
        <v>11</v>
      </c>
      <c r="I247">
        <v>1</v>
      </c>
      <c r="J247" t="s">
        <v>989</v>
      </c>
      <c r="K247">
        <v>22</v>
      </c>
      <c r="L247" t="s">
        <v>1229</v>
      </c>
      <c r="M247">
        <v>40</v>
      </c>
      <c r="N247">
        <v>17</v>
      </c>
      <c r="O247">
        <v>12</v>
      </c>
      <c r="P247">
        <v>15</v>
      </c>
      <c r="Q247">
        <v>2</v>
      </c>
      <c r="R247">
        <v>13</v>
      </c>
      <c r="S247">
        <v>7</v>
      </c>
      <c r="T247">
        <v>3</v>
      </c>
      <c r="U247">
        <v>1</v>
      </c>
      <c r="V247">
        <v>2</v>
      </c>
      <c r="W247">
        <v>-4</v>
      </c>
      <c r="X247">
        <v>1</v>
      </c>
      <c r="Y247">
        <v>-2</v>
      </c>
      <c r="Z247" t="s">
        <v>1211</v>
      </c>
      <c r="AA247" t="s">
        <v>36</v>
      </c>
      <c r="AB247" t="s">
        <v>36</v>
      </c>
      <c r="AC247" t="s">
        <v>36</v>
      </c>
      <c r="AD247" t="s">
        <v>36</v>
      </c>
      <c r="AE247" t="s">
        <v>475</v>
      </c>
      <c r="AF247" t="s">
        <v>63</v>
      </c>
      <c r="AG247" s="1" t="s">
        <v>1230</v>
      </c>
    </row>
    <row r="248" spans="1:33" ht="15" customHeight="1" x14ac:dyDescent="0.25">
      <c r="A248" t="s">
        <v>1231</v>
      </c>
      <c r="B248" t="s">
        <v>1189</v>
      </c>
      <c r="C248">
        <v>0.125</v>
      </c>
      <c r="D248" t="s">
        <v>34</v>
      </c>
      <c r="E248" t="s">
        <v>1190</v>
      </c>
      <c r="F248" t="s">
        <v>36</v>
      </c>
      <c r="G248" t="s">
        <v>58</v>
      </c>
      <c r="H248">
        <v>10</v>
      </c>
      <c r="I248">
        <v>-1</v>
      </c>
      <c r="J248" t="s">
        <v>1232</v>
      </c>
      <c r="K248">
        <v>17</v>
      </c>
      <c r="L248" t="s">
        <v>109</v>
      </c>
      <c r="M248">
        <v>50</v>
      </c>
      <c r="N248">
        <v>15</v>
      </c>
      <c r="O248">
        <v>8</v>
      </c>
      <c r="P248">
        <v>17</v>
      </c>
      <c r="Q248">
        <v>2</v>
      </c>
      <c r="R248">
        <v>11</v>
      </c>
      <c r="S248">
        <v>5</v>
      </c>
      <c r="T248">
        <v>2</v>
      </c>
      <c r="U248">
        <v>-1</v>
      </c>
      <c r="V248">
        <v>5</v>
      </c>
      <c r="W248">
        <v>-4</v>
      </c>
      <c r="X248">
        <v>0</v>
      </c>
      <c r="Y248">
        <v>-3</v>
      </c>
      <c r="Z248" t="s">
        <v>36</v>
      </c>
      <c r="AA248" t="s">
        <v>36</v>
      </c>
      <c r="AB248" t="s">
        <v>36</v>
      </c>
      <c r="AC248" t="s">
        <v>36</v>
      </c>
      <c r="AD248" t="s">
        <v>36</v>
      </c>
      <c r="AE248" t="s">
        <v>51</v>
      </c>
      <c r="AF248" t="s">
        <v>63</v>
      </c>
      <c r="AG248" s="1" t="s">
        <v>1233</v>
      </c>
    </row>
    <row r="249" spans="1:33" ht="15" customHeight="1" x14ac:dyDescent="0.25">
      <c r="A249" t="s">
        <v>1234</v>
      </c>
      <c r="B249" t="s">
        <v>1189</v>
      </c>
      <c r="C249">
        <v>0</v>
      </c>
      <c r="D249" t="s">
        <v>669</v>
      </c>
      <c r="E249" t="s">
        <v>1190</v>
      </c>
      <c r="F249" t="s">
        <v>36</v>
      </c>
      <c r="G249" t="s">
        <v>58</v>
      </c>
      <c r="H249">
        <v>12</v>
      </c>
      <c r="I249">
        <v>2</v>
      </c>
      <c r="J249" t="s">
        <v>1235</v>
      </c>
      <c r="K249">
        <v>2</v>
      </c>
      <c r="L249" t="s">
        <v>761</v>
      </c>
      <c r="M249">
        <v>40</v>
      </c>
      <c r="N249">
        <v>3</v>
      </c>
      <c r="O249">
        <v>15</v>
      </c>
      <c r="P249">
        <v>10</v>
      </c>
      <c r="Q249">
        <v>3</v>
      </c>
      <c r="R249">
        <v>12</v>
      </c>
      <c r="S249">
        <v>7</v>
      </c>
      <c r="T249">
        <v>-4</v>
      </c>
      <c r="U249">
        <v>4</v>
      </c>
      <c r="V249">
        <v>0</v>
      </c>
      <c r="W249">
        <v>-4</v>
      </c>
      <c r="X249">
        <v>1</v>
      </c>
      <c r="Y249">
        <v>-2</v>
      </c>
      <c r="Z249" t="s">
        <v>1153</v>
      </c>
      <c r="AA249" t="s">
        <v>36</v>
      </c>
      <c r="AB249" t="s">
        <v>36</v>
      </c>
      <c r="AC249" t="s">
        <v>36</v>
      </c>
      <c r="AD249" t="s">
        <v>36</v>
      </c>
      <c r="AE249" t="s">
        <v>475</v>
      </c>
      <c r="AF249" t="s">
        <v>63</v>
      </c>
      <c r="AG249" s="1" t="s">
        <v>1236</v>
      </c>
    </row>
    <row r="250" spans="1:33" ht="15" customHeight="1" x14ac:dyDescent="0.25">
      <c r="A250" t="s">
        <v>1237</v>
      </c>
      <c r="B250" t="s">
        <v>1189</v>
      </c>
      <c r="C250">
        <v>0.25</v>
      </c>
      <c r="D250" t="s">
        <v>34</v>
      </c>
      <c r="E250" t="s">
        <v>1190</v>
      </c>
      <c r="F250" t="s">
        <v>36</v>
      </c>
      <c r="G250" t="s">
        <v>58</v>
      </c>
      <c r="H250">
        <v>13</v>
      </c>
      <c r="I250">
        <v>2</v>
      </c>
      <c r="J250" t="s">
        <v>1238</v>
      </c>
      <c r="K250">
        <v>13</v>
      </c>
      <c r="L250" t="s">
        <v>318</v>
      </c>
      <c r="M250">
        <v>30</v>
      </c>
      <c r="N250">
        <v>15</v>
      </c>
      <c r="O250">
        <v>14</v>
      </c>
      <c r="P250">
        <v>12</v>
      </c>
      <c r="Q250">
        <v>1</v>
      </c>
      <c r="R250">
        <v>10</v>
      </c>
      <c r="S250">
        <v>3</v>
      </c>
      <c r="T250">
        <v>2</v>
      </c>
      <c r="U250">
        <v>2</v>
      </c>
      <c r="V250">
        <v>1</v>
      </c>
      <c r="W250">
        <v>-5</v>
      </c>
      <c r="X250">
        <v>0</v>
      </c>
      <c r="Y250">
        <v>-4</v>
      </c>
      <c r="Z250" t="s">
        <v>773</v>
      </c>
      <c r="AA250" t="s">
        <v>36</v>
      </c>
      <c r="AB250" t="s">
        <v>36</v>
      </c>
      <c r="AC250" t="s">
        <v>36</v>
      </c>
      <c r="AD250" t="s">
        <v>36</v>
      </c>
      <c r="AE250" t="s">
        <v>1239</v>
      </c>
      <c r="AF250" t="s">
        <v>63</v>
      </c>
      <c r="AG250" s="1" t="s">
        <v>1240</v>
      </c>
    </row>
    <row r="251" spans="1:33" ht="15" customHeight="1" x14ac:dyDescent="0.25">
      <c r="A251" t="s">
        <v>1241</v>
      </c>
      <c r="B251" t="s">
        <v>1189</v>
      </c>
      <c r="C251">
        <v>0</v>
      </c>
      <c r="D251" t="s">
        <v>669</v>
      </c>
      <c r="E251" t="s">
        <v>1190</v>
      </c>
      <c r="F251" t="s">
        <v>36</v>
      </c>
      <c r="G251" t="s">
        <v>58</v>
      </c>
      <c r="H251">
        <v>11</v>
      </c>
      <c r="I251">
        <v>0</v>
      </c>
      <c r="J251" t="s">
        <v>1242</v>
      </c>
      <c r="K251">
        <v>3</v>
      </c>
      <c r="L251" t="s">
        <v>533</v>
      </c>
      <c r="M251">
        <v>20</v>
      </c>
      <c r="N251">
        <v>6</v>
      </c>
      <c r="O251">
        <v>11</v>
      </c>
      <c r="P251">
        <v>12</v>
      </c>
      <c r="Q251">
        <v>1</v>
      </c>
      <c r="R251">
        <v>8</v>
      </c>
      <c r="S251">
        <v>2</v>
      </c>
      <c r="T251">
        <v>-2</v>
      </c>
      <c r="U251">
        <v>0</v>
      </c>
      <c r="V251">
        <v>1</v>
      </c>
      <c r="W251">
        <v>-5</v>
      </c>
      <c r="X251">
        <v>-1</v>
      </c>
      <c r="Y251">
        <v>-4</v>
      </c>
      <c r="Z251" t="s">
        <v>586</v>
      </c>
      <c r="AA251" t="s">
        <v>36</v>
      </c>
      <c r="AB251" t="s">
        <v>36</v>
      </c>
      <c r="AC251" t="s">
        <v>36</v>
      </c>
      <c r="AD251" t="s">
        <v>36</v>
      </c>
      <c r="AE251" t="s">
        <v>1243</v>
      </c>
      <c r="AF251" t="s">
        <v>63</v>
      </c>
      <c r="AG251" s="1" t="s">
        <v>1244</v>
      </c>
    </row>
    <row r="252" spans="1:33" ht="15" customHeight="1" x14ac:dyDescent="0.25">
      <c r="A252" t="s">
        <v>1245</v>
      </c>
      <c r="B252" t="s">
        <v>1189</v>
      </c>
      <c r="C252">
        <v>0.5</v>
      </c>
      <c r="D252" t="s">
        <v>34</v>
      </c>
      <c r="E252" t="s">
        <v>1190</v>
      </c>
      <c r="F252" t="s">
        <v>36</v>
      </c>
      <c r="G252" t="s">
        <v>58</v>
      </c>
      <c r="H252">
        <v>12</v>
      </c>
      <c r="I252">
        <v>0</v>
      </c>
      <c r="J252" t="s">
        <v>1238</v>
      </c>
      <c r="K252">
        <v>13</v>
      </c>
      <c r="L252" t="s">
        <v>1246</v>
      </c>
      <c r="M252">
        <v>20</v>
      </c>
      <c r="N252">
        <v>15</v>
      </c>
      <c r="O252">
        <v>10</v>
      </c>
      <c r="P252">
        <v>13</v>
      </c>
      <c r="Q252">
        <v>2</v>
      </c>
      <c r="R252">
        <v>10</v>
      </c>
      <c r="S252">
        <v>5</v>
      </c>
      <c r="T252">
        <v>2</v>
      </c>
      <c r="U252">
        <v>0</v>
      </c>
      <c r="V252">
        <v>3</v>
      </c>
      <c r="W252">
        <v>-4</v>
      </c>
      <c r="X252">
        <v>0</v>
      </c>
      <c r="Y252">
        <v>-3</v>
      </c>
      <c r="Z252" t="s">
        <v>586</v>
      </c>
      <c r="AA252" t="s">
        <v>36</v>
      </c>
      <c r="AB252" t="s">
        <v>36</v>
      </c>
      <c r="AC252" t="s">
        <v>36</v>
      </c>
      <c r="AD252" t="s">
        <v>36</v>
      </c>
      <c r="AE252" t="s">
        <v>99</v>
      </c>
      <c r="AF252" t="s">
        <v>63</v>
      </c>
      <c r="AG252" s="1" t="s">
        <v>1247</v>
      </c>
    </row>
    <row r="253" spans="1:33" ht="15" customHeight="1" x14ac:dyDescent="0.25">
      <c r="A253" t="s">
        <v>1248</v>
      </c>
      <c r="B253" t="s">
        <v>1189</v>
      </c>
      <c r="C253">
        <v>0</v>
      </c>
      <c r="D253" t="s">
        <v>56</v>
      </c>
      <c r="E253" t="s">
        <v>1190</v>
      </c>
      <c r="F253" t="s">
        <v>36</v>
      </c>
      <c r="G253" t="s">
        <v>58</v>
      </c>
      <c r="H253">
        <v>13</v>
      </c>
      <c r="I253">
        <v>3</v>
      </c>
      <c r="J253" t="s">
        <v>352</v>
      </c>
      <c r="K253">
        <v>4</v>
      </c>
      <c r="L253" t="s">
        <v>109</v>
      </c>
      <c r="M253">
        <v>50</v>
      </c>
      <c r="N253">
        <v>11</v>
      </c>
      <c r="O253">
        <v>16</v>
      </c>
      <c r="P253">
        <v>11</v>
      </c>
      <c r="Q253">
        <v>2</v>
      </c>
      <c r="R253">
        <v>14</v>
      </c>
      <c r="S253">
        <v>5</v>
      </c>
      <c r="T253">
        <v>0</v>
      </c>
      <c r="U253">
        <v>3</v>
      </c>
      <c r="V253">
        <v>0</v>
      </c>
      <c r="W253">
        <v>-4</v>
      </c>
      <c r="X253">
        <v>2</v>
      </c>
      <c r="Y253">
        <v>-3</v>
      </c>
      <c r="Z253" t="s">
        <v>319</v>
      </c>
      <c r="AA253" t="s">
        <v>36</v>
      </c>
      <c r="AB253" t="s">
        <v>36</v>
      </c>
      <c r="AC253" t="s">
        <v>36</v>
      </c>
      <c r="AD253" t="s">
        <v>36</v>
      </c>
      <c r="AE253" t="s">
        <v>321</v>
      </c>
      <c r="AF253" t="s">
        <v>63</v>
      </c>
      <c r="AG253" s="1" t="s">
        <v>1249</v>
      </c>
    </row>
    <row r="254" spans="1:33" ht="15" customHeight="1" x14ac:dyDescent="0.25">
      <c r="A254" t="s">
        <v>1250</v>
      </c>
      <c r="B254" t="s">
        <v>1189</v>
      </c>
      <c r="C254">
        <v>1</v>
      </c>
      <c r="D254" t="s">
        <v>34</v>
      </c>
      <c r="E254" t="s">
        <v>1190</v>
      </c>
      <c r="F254" t="s">
        <v>36</v>
      </c>
      <c r="G254" t="s">
        <v>58</v>
      </c>
      <c r="H254">
        <v>14</v>
      </c>
      <c r="I254">
        <v>2</v>
      </c>
      <c r="J254" t="s">
        <v>989</v>
      </c>
      <c r="K254">
        <v>22</v>
      </c>
      <c r="L254" t="s">
        <v>109</v>
      </c>
      <c r="M254">
        <v>50</v>
      </c>
      <c r="N254">
        <v>17</v>
      </c>
      <c r="O254">
        <v>15</v>
      </c>
      <c r="P254">
        <v>15</v>
      </c>
      <c r="Q254">
        <v>3</v>
      </c>
      <c r="R254">
        <v>12</v>
      </c>
      <c r="S254">
        <v>7</v>
      </c>
      <c r="T254">
        <v>3</v>
      </c>
      <c r="U254">
        <v>2</v>
      </c>
      <c r="V254">
        <v>2</v>
      </c>
      <c r="W254">
        <v>-4</v>
      </c>
      <c r="X254">
        <v>1</v>
      </c>
      <c r="Y254">
        <v>-2</v>
      </c>
      <c r="Z254" t="s">
        <v>406</v>
      </c>
      <c r="AA254" t="s">
        <v>36</v>
      </c>
      <c r="AB254" t="s">
        <v>36</v>
      </c>
      <c r="AC254" t="s">
        <v>36</v>
      </c>
      <c r="AD254" t="s">
        <v>36</v>
      </c>
      <c r="AE254" t="s">
        <v>212</v>
      </c>
      <c r="AF254" t="s">
        <v>63</v>
      </c>
      <c r="AG254" s="1" t="s">
        <v>1251</v>
      </c>
    </row>
    <row r="255" spans="1:33" ht="15" customHeight="1" x14ac:dyDescent="0.25">
      <c r="A255" t="s">
        <v>1252</v>
      </c>
      <c r="B255" t="s">
        <v>1189</v>
      </c>
      <c r="C255">
        <v>0.25</v>
      </c>
      <c r="D255" t="s">
        <v>34</v>
      </c>
      <c r="E255" t="s">
        <v>1190</v>
      </c>
      <c r="F255" t="s">
        <v>36</v>
      </c>
      <c r="G255" t="s">
        <v>58</v>
      </c>
      <c r="H255">
        <v>10</v>
      </c>
      <c r="I255">
        <v>0</v>
      </c>
      <c r="J255" t="s">
        <v>1253</v>
      </c>
      <c r="K255">
        <v>15</v>
      </c>
      <c r="L255" t="s">
        <v>210</v>
      </c>
      <c r="M255">
        <v>40</v>
      </c>
      <c r="N255">
        <v>18</v>
      </c>
      <c r="O255">
        <v>10</v>
      </c>
      <c r="P255">
        <v>15</v>
      </c>
      <c r="Q255">
        <v>2</v>
      </c>
      <c r="R255">
        <v>11</v>
      </c>
      <c r="S255">
        <v>7</v>
      </c>
      <c r="T255">
        <v>4</v>
      </c>
      <c r="U255">
        <v>0</v>
      </c>
      <c r="V255">
        <v>2</v>
      </c>
      <c r="W255">
        <v>-4</v>
      </c>
      <c r="X255">
        <v>0</v>
      </c>
      <c r="Y255">
        <v>-2</v>
      </c>
      <c r="Z255" t="s">
        <v>36</v>
      </c>
      <c r="AA255" t="s">
        <v>36</v>
      </c>
      <c r="AB255" t="s">
        <v>36</v>
      </c>
      <c r="AC255" t="s">
        <v>36</v>
      </c>
      <c r="AD255" t="s">
        <v>36</v>
      </c>
      <c r="AE255" t="s">
        <v>99</v>
      </c>
      <c r="AF255" t="s">
        <v>63</v>
      </c>
      <c r="AG255" s="1" t="s">
        <v>1254</v>
      </c>
    </row>
    <row r="256" spans="1:33" ht="15" customHeight="1" x14ac:dyDescent="0.25">
      <c r="A256" t="s">
        <v>1255</v>
      </c>
      <c r="B256" t="s">
        <v>1189</v>
      </c>
      <c r="C256">
        <v>0</v>
      </c>
      <c r="D256" t="s">
        <v>66</v>
      </c>
      <c r="E256" t="s">
        <v>1190</v>
      </c>
      <c r="F256" t="s">
        <v>36</v>
      </c>
      <c r="G256" t="s">
        <v>58</v>
      </c>
      <c r="H256">
        <v>12</v>
      </c>
      <c r="I256">
        <v>2</v>
      </c>
      <c r="J256" t="s">
        <v>1256</v>
      </c>
      <c r="K256">
        <v>4</v>
      </c>
      <c r="L256" t="s">
        <v>1223</v>
      </c>
      <c r="M256">
        <v>10</v>
      </c>
      <c r="N256">
        <v>6</v>
      </c>
      <c r="O256">
        <v>15</v>
      </c>
      <c r="P256">
        <v>12</v>
      </c>
      <c r="Q256">
        <v>2</v>
      </c>
      <c r="R256">
        <v>14</v>
      </c>
      <c r="S256">
        <v>7</v>
      </c>
      <c r="T256">
        <v>-2</v>
      </c>
      <c r="U256">
        <v>2</v>
      </c>
      <c r="V256">
        <v>1</v>
      </c>
      <c r="W256">
        <v>-4</v>
      </c>
      <c r="X256">
        <v>2</v>
      </c>
      <c r="Y256">
        <v>-2</v>
      </c>
      <c r="Z256" t="s">
        <v>293</v>
      </c>
      <c r="AA256" t="s">
        <v>36</v>
      </c>
      <c r="AB256" t="s">
        <v>36</v>
      </c>
      <c r="AC256" t="s">
        <v>36</v>
      </c>
      <c r="AD256" t="s">
        <v>36</v>
      </c>
      <c r="AE256" t="s">
        <v>89</v>
      </c>
      <c r="AF256" t="s">
        <v>63</v>
      </c>
      <c r="AG256" s="1" t="s">
        <v>1257</v>
      </c>
    </row>
    <row r="257" spans="1:33" ht="15" customHeight="1" x14ac:dyDescent="0.25">
      <c r="A257" t="s">
        <v>1258</v>
      </c>
      <c r="B257" t="s">
        <v>1189</v>
      </c>
      <c r="C257">
        <v>4</v>
      </c>
      <c r="D257" t="s">
        <v>103</v>
      </c>
      <c r="E257" t="s">
        <v>1190</v>
      </c>
      <c r="F257" t="s">
        <v>36</v>
      </c>
      <c r="G257" t="s">
        <v>58</v>
      </c>
      <c r="H257">
        <v>12</v>
      </c>
      <c r="I257">
        <v>-1</v>
      </c>
      <c r="J257" t="s">
        <v>1259</v>
      </c>
      <c r="K257">
        <v>76</v>
      </c>
      <c r="L257" t="s">
        <v>210</v>
      </c>
      <c r="M257">
        <v>40</v>
      </c>
      <c r="N257">
        <v>22</v>
      </c>
      <c r="O257">
        <v>9</v>
      </c>
      <c r="P257">
        <v>17</v>
      </c>
      <c r="Q257">
        <v>3</v>
      </c>
      <c r="R257">
        <v>11</v>
      </c>
      <c r="S257">
        <v>6</v>
      </c>
      <c r="T257">
        <v>6</v>
      </c>
      <c r="U257">
        <v>-1</v>
      </c>
      <c r="V257">
        <v>3</v>
      </c>
      <c r="W257">
        <v>-4</v>
      </c>
      <c r="X257">
        <v>0</v>
      </c>
      <c r="Y257">
        <v>-2</v>
      </c>
      <c r="Z257" t="s">
        <v>36</v>
      </c>
      <c r="AA257" t="s">
        <v>36</v>
      </c>
      <c r="AB257" t="s">
        <v>36</v>
      </c>
      <c r="AC257" t="s">
        <v>36</v>
      </c>
      <c r="AD257" t="s">
        <v>36</v>
      </c>
      <c r="AE257" t="s">
        <v>99</v>
      </c>
      <c r="AF257" t="s">
        <v>63</v>
      </c>
      <c r="AG257" s="1" t="s">
        <v>1260</v>
      </c>
    </row>
    <row r="258" spans="1:33" ht="15" customHeight="1" x14ac:dyDescent="0.25">
      <c r="A258" t="s">
        <v>1261</v>
      </c>
      <c r="B258" t="s">
        <v>1189</v>
      </c>
      <c r="C258">
        <v>0.25</v>
      </c>
      <c r="D258" t="s">
        <v>34</v>
      </c>
      <c r="E258" t="s">
        <v>1190</v>
      </c>
      <c r="F258" t="s">
        <v>36</v>
      </c>
      <c r="G258" t="s">
        <v>58</v>
      </c>
      <c r="H258">
        <v>10</v>
      </c>
      <c r="I258">
        <v>0</v>
      </c>
      <c r="J258" t="s">
        <v>1262</v>
      </c>
      <c r="K258">
        <v>11</v>
      </c>
      <c r="L258" t="s">
        <v>109</v>
      </c>
      <c r="M258">
        <v>50</v>
      </c>
      <c r="N258">
        <v>16</v>
      </c>
      <c r="O258">
        <v>10</v>
      </c>
      <c r="P258">
        <v>11</v>
      </c>
      <c r="Q258">
        <v>2</v>
      </c>
      <c r="R258">
        <v>10</v>
      </c>
      <c r="S258">
        <v>6</v>
      </c>
      <c r="T258">
        <v>3</v>
      </c>
      <c r="U258">
        <v>0</v>
      </c>
      <c r="V258">
        <v>0</v>
      </c>
      <c r="W258">
        <v>-4</v>
      </c>
      <c r="X258">
        <v>0</v>
      </c>
      <c r="Y258">
        <v>-2</v>
      </c>
      <c r="Z258" t="s">
        <v>631</v>
      </c>
      <c r="AA258" t="s">
        <v>36</v>
      </c>
      <c r="AB258" t="s">
        <v>36</v>
      </c>
      <c r="AC258" t="s">
        <v>36</v>
      </c>
      <c r="AD258" t="s">
        <v>36</v>
      </c>
      <c r="AE258" t="s">
        <v>612</v>
      </c>
      <c r="AF258" t="s">
        <v>63</v>
      </c>
      <c r="AG258" s="1" t="s">
        <v>1263</v>
      </c>
    </row>
    <row r="259" spans="1:33" ht="15" customHeight="1" x14ac:dyDescent="0.25">
      <c r="A259" t="s">
        <v>1264</v>
      </c>
      <c r="B259" t="s">
        <v>1189</v>
      </c>
      <c r="C259">
        <v>0.125</v>
      </c>
      <c r="D259" t="s">
        <v>669</v>
      </c>
      <c r="E259" t="s">
        <v>76</v>
      </c>
      <c r="F259" t="s">
        <v>36</v>
      </c>
      <c r="G259" t="s">
        <v>58</v>
      </c>
      <c r="H259">
        <v>14</v>
      </c>
      <c r="I259">
        <v>2</v>
      </c>
      <c r="J259" t="s">
        <v>1034</v>
      </c>
      <c r="K259">
        <v>5</v>
      </c>
      <c r="L259" t="s">
        <v>176</v>
      </c>
      <c r="M259">
        <v>30</v>
      </c>
      <c r="N259">
        <v>4</v>
      </c>
      <c r="O259">
        <v>15</v>
      </c>
      <c r="P259">
        <v>11</v>
      </c>
      <c r="Q259">
        <v>2</v>
      </c>
      <c r="R259">
        <v>12</v>
      </c>
      <c r="S259">
        <v>5</v>
      </c>
      <c r="T259">
        <v>-3</v>
      </c>
      <c r="U259">
        <v>2</v>
      </c>
      <c r="V259">
        <v>0</v>
      </c>
      <c r="W259">
        <v>-4</v>
      </c>
      <c r="X259">
        <v>1</v>
      </c>
      <c r="Y259">
        <v>-3</v>
      </c>
      <c r="Z259" t="s">
        <v>36</v>
      </c>
      <c r="AA259" t="s">
        <v>36</v>
      </c>
      <c r="AB259" t="s">
        <v>36</v>
      </c>
      <c r="AC259" t="s">
        <v>36</v>
      </c>
      <c r="AD259" t="s">
        <v>36</v>
      </c>
      <c r="AE259" t="s">
        <v>1265</v>
      </c>
      <c r="AF259" t="s">
        <v>63</v>
      </c>
      <c r="AG259" s="1" t="s">
        <v>1266</v>
      </c>
    </row>
    <row r="260" spans="1:33" ht="15" customHeight="1" x14ac:dyDescent="0.25">
      <c r="A260" t="s">
        <v>1267</v>
      </c>
      <c r="B260" t="s">
        <v>1189</v>
      </c>
      <c r="C260">
        <v>0</v>
      </c>
      <c r="D260" t="s">
        <v>669</v>
      </c>
      <c r="E260" t="s">
        <v>1190</v>
      </c>
      <c r="F260" t="s">
        <v>36</v>
      </c>
      <c r="G260" t="s">
        <v>58</v>
      </c>
      <c r="H260">
        <v>11</v>
      </c>
      <c r="I260">
        <v>1</v>
      </c>
      <c r="J260" t="s">
        <v>1215</v>
      </c>
      <c r="K260">
        <v>1</v>
      </c>
      <c r="L260" t="s">
        <v>533</v>
      </c>
      <c r="M260">
        <v>20</v>
      </c>
      <c r="N260">
        <v>1</v>
      </c>
      <c r="O260">
        <v>13</v>
      </c>
      <c r="P260">
        <v>8</v>
      </c>
      <c r="Q260">
        <v>1</v>
      </c>
      <c r="R260">
        <v>8</v>
      </c>
      <c r="S260">
        <v>3</v>
      </c>
      <c r="T260">
        <v>-5</v>
      </c>
      <c r="U260">
        <v>1</v>
      </c>
      <c r="V260">
        <v>-1</v>
      </c>
      <c r="W260">
        <v>-5</v>
      </c>
      <c r="X260">
        <v>-1</v>
      </c>
      <c r="Y260">
        <v>-4</v>
      </c>
      <c r="Z260" t="s">
        <v>1268</v>
      </c>
      <c r="AA260" t="s">
        <v>36</v>
      </c>
      <c r="AB260" t="s">
        <v>36</v>
      </c>
      <c r="AC260" t="s">
        <v>36</v>
      </c>
      <c r="AD260" t="s">
        <v>36</v>
      </c>
      <c r="AE260" t="s">
        <v>1269</v>
      </c>
      <c r="AF260" t="s">
        <v>63</v>
      </c>
      <c r="AG260" s="1" t="s">
        <v>1270</v>
      </c>
    </row>
    <row r="261" spans="1:33" ht="15" customHeight="1" x14ac:dyDescent="0.25">
      <c r="A261" t="s">
        <v>1271</v>
      </c>
      <c r="B261" t="s">
        <v>1189</v>
      </c>
      <c r="C261">
        <v>7</v>
      </c>
      <c r="D261" t="s">
        <v>103</v>
      </c>
      <c r="E261" t="s">
        <v>1190</v>
      </c>
      <c r="F261" t="s">
        <v>36</v>
      </c>
      <c r="G261" t="s">
        <v>58</v>
      </c>
      <c r="H261">
        <v>12</v>
      </c>
      <c r="I261">
        <v>5</v>
      </c>
      <c r="J261" t="s">
        <v>160</v>
      </c>
      <c r="K261">
        <v>168</v>
      </c>
      <c r="L261" t="s">
        <v>761</v>
      </c>
      <c r="M261">
        <v>40</v>
      </c>
      <c r="N261">
        <v>23</v>
      </c>
      <c r="O261">
        <v>14</v>
      </c>
      <c r="P261">
        <v>18</v>
      </c>
      <c r="Q261">
        <v>5</v>
      </c>
      <c r="R261">
        <v>12</v>
      </c>
      <c r="S261">
        <v>7</v>
      </c>
      <c r="T261">
        <v>6</v>
      </c>
      <c r="U261">
        <v>2</v>
      </c>
      <c r="V261">
        <v>4</v>
      </c>
      <c r="W261">
        <v>-3</v>
      </c>
      <c r="X261">
        <v>1</v>
      </c>
      <c r="Y261">
        <v>-2</v>
      </c>
      <c r="Z261" t="s">
        <v>1272</v>
      </c>
      <c r="AA261" t="s">
        <v>36</v>
      </c>
      <c r="AB261" t="s">
        <v>36</v>
      </c>
      <c r="AC261" t="s">
        <v>36</v>
      </c>
      <c r="AD261" t="s">
        <v>36</v>
      </c>
      <c r="AE261" t="s">
        <v>638</v>
      </c>
      <c r="AF261" t="s">
        <v>63</v>
      </c>
      <c r="AG261" s="1" t="s">
        <v>1273</v>
      </c>
    </row>
    <row r="262" spans="1:33" ht="15" customHeight="1" x14ac:dyDescent="0.25">
      <c r="A262" t="s">
        <v>1274</v>
      </c>
      <c r="B262" t="s">
        <v>1189</v>
      </c>
      <c r="C262">
        <v>0.25</v>
      </c>
      <c r="D262" t="s">
        <v>56</v>
      </c>
      <c r="E262" t="s">
        <v>1190</v>
      </c>
      <c r="F262" t="s">
        <v>36</v>
      </c>
      <c r="G262" t="s">
        <v>58</v>
      </c>
      <c r="H262">
        <v>13</v>
      </c>
      <c r="I262">
        <v>0</v>
      </c>
      <c r="J262" t="s">
        <v>1182</v>
      </c>
      <c r="K262">
        <v>15</v>
      </c>
      <c r="L262" t="s">
        <v>78</v>
      </c>
      <c r="M262">
        <v>30</v>
      </c>
      <c r="N262">
        <v>13</v>
      </c>
      <c r="O262">
        <v>10</v>
      </c>
      <c r="P262">
        <v>17</v>
      </c>
      <c r="Q262">
        <v>2</v>
      </c>
      <c r="R262">
        <v>12</v>
      </c>
      <c r="S262">
        <v>5</v>
      </c>
      <c r="T262">
        <v>1</v>
      </c>
      <c r="U262">
        <v>0</v>
      </c>
      <c r="V262">
        <v>3</v>
      </c>
      <c r="W262">
        <v>-4</v>
      </c>
      <c r="X262">
        <v>1</v>
      </c>
      <c r="Y262">
        <v>-3</v>
      </c>
      <c r="Z262" t="s">
        <v>1211</v>
      </c>
      <c r="AA262" t="s">
        <v>87</v>
      </c>
      <c r="AB262" t="s">
        <v>36</v>
      </c>
      <c r="AC262" t="s">
        <v>36</v>
      </c>
      <c r="AD262" t="s">
        <v>36</v>
      </c>
      <c r="AE262" t="s">
        <v>475</v>
      </c>
      <c r="AF262" t="s">
        <v>63</v>
      </c>
      <c r="AG262" s="1" t="s">
        <v>1275</v>
      </c>
    </row>
    <row r="263" spans="1:33" ht="15" customHeight="1" x14ac:dyDescent="0.25">
      <c r="A263" t="s">
        <v>1276</v>
      </c>
      <c r="B263" t="s">
        <v>1189</v>
      </c>
      <c r="C263">
        <v>0.25</v>
      </c>
      <c r="D263" t="s">
        <v>34</v>
      </c>
      <c r="E263" t="s">
        <v>1190</v>
      </c>
      <c r="F263" t="s">
        <v>36</v>
      </c>
      <c r="G263" t="s">
        <v>58</v>
      </c>
      <c r="H263">
        <v>13</v>
      </c>
      <c r="I263">
        <v>3</v>
      </c>
      <c r="J263" t="s">
        <v>1277</v>
      </c>
      <c r="K263">
        <v>22</v>
      </c>
      <c r="L263" t="s">
        <v>1223</v>
      </c>
      <c r="M263">
        <v>10</v>
      </c>
      <c r="N263">
        <v>15</v>
      </c>
      <c r="O263">
        <v>16</v>
      </c>
      <c r="P263">
        <v>11</v>
      </c>
      <c r="Q263">
        <v>2</v>
      </c>
      <c r="R263">
        <v>12</v>
      </c>
      <c r="S263">
        <v>6</v>
      </c>
      <c r="T263">
        <v>2</v>
      </c>
      <c r="U263">
        <v>3</v>
      </c>
      <c r="V263">
        <v>0</v>
      </c>
      <c r="W263">
        <v>-4</v>
      </c>
      <c r="X263">
        <v>1</v>
      </c>
      <c r="Y263">
        <v>-2</v>
      </c>
      <c r="Z263" t="s">
        <v>36</v>
      </c>
      <c r="AA263" t="s">
        <v>36</v>
      </c>
      <c r="AB263" t="s">
        <v>36</v>
      </c>
      <c r="AC263" t="s">
        <v>36</v>
      </c>
      <c r="AD263" t="s">
        <v>36</v>
      </c>
      <c r="AE263" t="s">
        <v>1278</v>
      </c>
      <c r="AF263" t="s">
        <v>63</v>
      </c>
      <c r="AG263" s="1" t="s">
        <v>1279</v>
      </c>
    </row>
    <row r="264" spans="1:33" ht="15" customHeight="1" x14ac:dyDescent="0.25">
      <c r="A264" t="s">
        <v>1280</v>
      </c>
      <c r="B264" t="s">
        <v>1189</v>
      </c>
      <c r="C264">
        <v>2</v>
      </c>
      <c r="D264" t="s">
        <v>34</v>
      </c>
      <c r="E264" t="s">
        <v>1190</v>
      </c>
      <c r="F264" t="s">
        <v>36</v>
      </c>
      <c r="G264" t="s">
        <v>58</v>
      </c>
      <c r="H264">
        <v>13</v>
      </c>
      <c r="I264">
        <v>0</v>
      </c>
      <c r="J264" t="s">
        <v>1281</v>
      </c>
      <c r="K264">
        <v>42</v>
      </c>
      <c r="L264" t="s">
        <v>210</v>
      </c>
      <c r="M264">
        <v>40</v>
      </c>
      <c r="N264">
        <v>17</v>
      </c>
      <c r="O264">
        <v>10</v>
      </c>
      <c r="P264">
        <v>16</v>
      </c>
      <c r="Q264">
        <v>2</v>
      </c>
      <c r="R264">
        <v>7</v>
      </c>
      <c r="S264">
        <v>5</v>
      </c>
      <c r="T264">
        <v>5</v>
      </c>
      <c r="U264">
        <v>0</v>
      </c>
      <c r="V264">
        <v>3</v>
      </c>
      <c r="W264">
        <v>-4</v>
      </c>
      <c r="X264">
        <v>-2</v>
      </c>
      <c r="Y264">
        <v>-3</v>
      </c>
      <c r="Z264" t="s">
        <v>36</v>
      </c>
      <c r="AA264" t="s">
        <v>36</v>
      </c>
      <c r="AB264" t="s">
        <v>36</v>
      </c>
      <c r="AC264" t="s">
        <v>36</v>
      </c>
      <c r="AD264" t="s">
        <v>36</v>
      </c>
      <c r="AE264" t="s">
        <v>1282</v>
      </c>
      <c r="AF264" t="s">
        <v>63</v>
      </c>
      <c r="AG264" s="1" t="s">
        <v>1283</v>
      </c>
    </row>
    <row r="265" spans="1:33" ht="15" customHeight="1" x14ac:dyDescent="0.25">
      <c r="A265" t="s">
        <v>1284</v>
      </c>
      <c r="B265" t="s">
        <v>1189</v>
      </c>
      <c r="C265">
        <v>0.25</v>
      </c>
      <c r="D265" t="s">
        <v>66</v>
      </c>
      <c r="E265" t="s">
        <v>1190</v>
      </c>
      <c r="F265" t="s">
        <v>36</v>
      </c>
      <c r="G265" t="s">
        <v>58</v>
      </c>
      <c r="H265">
        <v>14</v>
      </c>
      <c r="I265">
        <v>2</v>
      </c>
      <c r="J265" t="s">
        <v>1285</v>
      </c>
      <c r="K265">
        <v>9</v>
      </c>
      <c r="L265" t="s">
        <v>144</v>
      </c>
      <c r="M265">
        <v>30</v>
      </c>
      <c r="N265">
        <v>5</v>
      </c>
      <c r="O265">
        <v>14</v>
      </c>
      <c r="P265">
        <v>12</v>
      </c>
      <c r="Q265">
        <v>1</v>
      </c>
      <c r="R265">
        <v>7</v>
      </c>
      <c r="S265">
        <v>3</v>
      </c>
      <c r="T265">
        <v>-3</v>
      </c>
      <c r="U265">
        <v>2</v>
      </c>
      <c r="V265">
        <v>1</v>
      </c>
      <c r="W265">
        <v>-5</v>
      </c>
      <c r="X265">
        <v>-2</v>
      </c>
      <c r="Y265">
        <v>-4</v>
      </c>
      <c r="Z265" t="s">
        <v>36</v>
      </c>
      <c r="AA265" t="s">
        <v>36</v>
      </c>
      <c r="AB265" t="s">
        <v>36</v>
      </c>
      <c r="AC265" t="s">
        <v>36</v>
      </c>
      <c r="AD265" t="s">
        <v>36</v>
      </c>
      <c r="AE265" t="s">
        <v>1286</v>
      </c>
      <c r="AF265" t="s">
        <v>63</v>
      </c>
      <c r="AG265" s="1" t="s">
        <v>1287</v>
      </c>
    </row>
    <row r="266" spans="1:33" ht="15" customHeight="1" x14ac:dyDescent="0.25">
      <c r="A266" t="s">
        <v>1288</v>
      </c>
      <c r="B266" t="s">
        <v>1189</v>
      </c>
      <c r="C266">
        <v>2</v>
      </c>
      <c r="D266" t="s">
        <v>103</v>
      </c>
      <c r="E266" t="s">
        <v>1190</v>
      </c>
      <c r="F266" t="s">
        <v>36</v>
      </c>
      <c r="G266" t="s">
        <v>58</v>
      </c>
      <c r="H266">
        <v>12</v>
      </c>
      <c r="I266">
        <v>2</v>
      </c>
      <c r="J266" t="s">
        <v>1289</v>
      </c>
      <c r="K266">
        <v>60</v>
      </c>
      <c r="L266" t="s">
        <v>318</v>
      </c>
      <c r="M266">
        <v>30</v>
      </c>
      <c r="N266">
        <v>19</v>
      </c>
      <c r="O266">
        <v>14</v>
      </c>
      <c r="P266">
        <v>12</v>
      </c>
      <c r="Q266">
        <v>1</v>
      </c>
      <c r="R266">
        <v>10</v>
      </c>
      <c r="S266">
        <v>3</v>
      </c>
      <c r="T266">
        <v>4</v>
      </c>
      <c r="U266">
        <v>2</v>
      </c>
      <c r="V266">
        <v>1</v>
      </c>
      <c r="W266">
        <v>-5</v>
      </c>
      <c r="X266">
        <v>0</v>
      </c>
      <c r="Y266">
        <v>-4</v>
      </c>
      <c r="Z266" t="s">
        <v>631</v>
      </c>
      <c r="AA266" t="s">
        <v>36</v>
      </c>
      <c r="AB266" t="s">
        <v>36</v>
      </c>
      <c r="AC266" t="s">
        <v>36</v>
      </c>
      <c r="AD266" t="s">
        <v>36</v>
      </c>
      <c r="AE266" t="s">
        <v>1239</v>
      </c>
      <c r="AF266" t="s">
        <v>63</v>
      </c>
      <c r="AG266" s="1" t="s">
        <v>1290</v>
      </c>
    </row>
    <row r="267" spans="1:33" ht="15" customHeight="1" x14ac:dyDescent="0.25">
      <c r="A267" t="s">
        <v>1291</v>
      </c>
      <c r="B267" t="s">
        <v>1189</v>
      </c>
      <c r="C267">
        <v>0.125</v>
      </c>
      <c r="D267" t="s">
        <v>56</v>
      </c>
      <c r="E267" t="s">
        <v>1190</v>
      </c>
      <c r="F267" t="s">
        <v>36</v>
      </c>
      <c r="G267" t="s">
        <v>58</v>
      </c>
      <c r="H267">
        <v>15</v>
      </c>
      <c r="I267">
        <v>1</v>
      </c>
      <c r="J267" t="s">
        <v>500</v>
      </c>
      <c r="K267">
        <v>13</v>
      </c>
      <c r="L267" t="s">
        <v>318</v>
      </c>
      <c r="M267">
        <v>30</v>
      </c>
      <c r="N267">
        <v>13</v>
      </c>
      <c r="O267">
        <v>13</v>
      </c>
      <c r="P267">
        <v>11</v>
      </c>
      <c r="Q267">
        <v>1</v>
      </c>
      <c r="R267">
        <v>9</v>
      </c>
      <c r="S267">
        <v>3</v>
      </c>
      <c r="T267">
        <v>1</v>
      </c>
      <c r="U267">
        <v>1</v>
      </c>
      <c r="V267">
        <v>0</v>
      </c>
      <c r="W267">
        <v>-5</v>
      </c>
      <c r="X267">
        <v>-1</v>
      </c>
      <c r="Y267">
        <v>-4</v>
      </c>
      <c r="Z267" t="s">
        <v>402</v>
      </c>
      <c r="AA267" t="s">
        <v>36</v>
      </c>
      <c r="AB267" t="s">
        <v>36</v>
      </c>
      <c r="AC267" t="s">
        <v>36</v>
      </c>
      <c r="AD267" t="s">
        <v>36</v>
      </c>
      <c r="AE267" t="s">
        <v>1243</v>
      </c>
      <c r="AF267" t="s">
        <v>63</v>
      </c>
      <c r="AG267" s="1" t="s">
        <v>1292</v>
      </c>
    </row>
    <row r="268" spans="1:33" ht="15" customHeight="1" x14ac:dyDescent="0.25">
      <c r="A268" t="s">
        <v>1293</v>
      </c>
      <c r="B268" t="s">
        <v>1189</v>
      </c>
      <c r="C268">
        <v>5</v>
      </c>
      <c r="D268" t="s">
        <v>103</v>
      </c>
      <c r="E268" t="s">
        <v>1190</v>
      </c>
      <c r="F268" t="s">
        <v>36</v>
      </c>
      <c r="G268" t="s">
        <v>58</v>
      </c>
      <c r="H268">
        <v>14</v>
      </c>
      <c r="I268">
        <v>-1</v>
      </c>
      <c r="J268" t="s">
        <v>1294</v>
      </c>
      <c r="K268">
        <v>85</v>
      </c>
      <c r="L268" t="s">
        <v>1295</v>
      </c>
      <c r="M268">
        <v>30</v>
      </c>
      <c r="N268">
        <v>21</v>
      </c>
      <c r="O268">
        <v>9</v>
      </c>
      <c r="P268">
        <v>17</v>
      </c>
      <c r="Q268">
        <v>2</v>
      </c>
      <c r="R268">
        <v>10</v>
      </c>
      <c r="S268">
        <v>7</v>
      </c>
      <c r="T268">
        <v>5</v>
      </c>
      <c r="U268">
        <v>-1</v>
      </c>
      <c r="V268">
        <v>3</v>
      </c>
      <c r="W268">
        <v>-4</v>
      </c>
      <c r="X268">
        <v>0</v>
      </c>
      <c r="Y268">
        <v>-2</v>
      </c>
      <c r="Z268" t="s">
        <v>333</v>
      </c>
      <c r="AA268" t="s">
        <v>36</v>
      </c>
      <c r="AB268" t="s">
        <v>36</v>
      </c>
      <c r="AC268" t="s">
        <v>36</v>
      </c>
      <c r="AD268" t="s">
        <v>36</v>
      </c>
      <c r="AE268" t="s">
        <v>99</v>
      </c>
      <c r="AF268" t="s">
        <v>63</v>
      </c>
      <c r="AG268" s="1" t="s">
        <v>1296</v>
      </c>
    </row>
    <row r="269" spans="1:33" ht="15" customHeight="1" x14ac:dyDescent="0.25">
      <c r="A269" t="s">
        <v>1297</v>
      </c>
      <c r="B269" t="s">
        <v>1189</v>
      </c>
      <c r="C269">
        <v>1</v>
      </c>
      <c r="D269" t="s">
        <v>34</v>
      </c>
      <c r="E269" t="s">
        <v>373</v>
      </c>
      <c r="F269" t="s">
        <v>36</v>
      </c>
      <c r="G269" t="s">
        <v>298</v>
      </c>
      <c r="H269">
        <v>13</v>
      </c>
      <c r="I269">
        <v>3</v>
      </c>
      <c r="J269" t="s">
        <v>658</v>
      </c>
      <c r="K269">
        <v>26</v>
      </c>
      <c r="L269" t="s">
        <v>1298</v>
      </c>
      <c r="M269">
        <v>10</v>
      </c>
      <c r="N269">
        <v>16</v>
      </c>
      <c r="O269">
        <v>17</v>
      </c>
      <c r="P269">
        <v>13</v>
      </c>
      <c r="Q269">
        <v>8</v>
      </c>
      <c r="R269">
        <v>14</v>
      </c>
      <c r="S269">
        <v>10</v>
      </c>
      <c r="T269">
        <v>3</v>
      </c>
      <c r="U269">
        <v>3</v>
      </c>
      <c r="V269">
        <v>1</v>
      </c>
      <c r="W269">
        <v>-1</v>
      </c>
      <c r="X269">
        <v>2</v>
      </c>
      <c r="Y269">
        <v>0</v>
      </c>
      <c r="Z269" t="s">
        <v>293</v>
      </c>
      <c r="AA269" t="s">
        <v>1015</v>
      </c>
      <c r="AB269" t="s">
        <v>36</v>
      </c>
      <c r="AC269" t="s">
        <v>36</v>
      </c>
      <c r="AD269" t="s">
        <v>36</v>
      </c>
      <c r="AE269" t="s">
        <v>89</v>
      </c>
      <c r="AF269" t="s">
        <v>1299</v>
      </c>
      <c r="AG269" s="1" t="s">
        <v>1300</v>
      </c>
    </row>
    <row r="270" spans="1:33" ht="15" customHeight="1" x14ac:dyDescent="0.25">
      <c r="A270" t="s">
        <v>1301</v>
      </c>
      <c r="B270" t="s">
        <v>1189</v>
      </c>
      <c r="C270">
        <v>2</v>
      </c>
      <c r="D270" t="s">
        <v>103</v>
      </c>
      <c r="E270" t="s">
        <v>373</v>
      </c>
      <c r="F270" t="s">
        <v>36</v>
      </c>
      <c r="G270" t="s">
        <v>298</v>
      </c>
      <c r="H270">
        <v>14</v>
      </c>
      <c r="I270">
        <v>6</v>
      </c>
      <c r="J270" t="s">
        <v>1302</v>
      </c>
      <c r="K270">
        <v>42</v>
      </c>
      <c r="L270" t="s">
        <v>990</v>
      </c>
      <c r="M270">
        <v>60</v>
      </c>
      <c r="N270">
        <v>19</v>
      </c>
      <c r="O270">
        <v>18</v>
      </c>
      <c r="P270">
        <v>14</v>
      </c>
      <c r="Q270">
        <v>7</v>
      </c>
      <c r="R270">
        <v>14</v>
      </c>
      <c r="S270">
        <v>10</v>
      </c>
      <c r="T270">
        <v>6</v>
      </c>
      <c r="U270">
        <v>6</v>
      </c>
      <c r="V270">
        <v>2</v>
      </c>
      <c r="W270">
        <v>-2</v>
      </c>
      <c r="X270">
        <v>2</v>
      </c>
      <c r="Y270">
        <v>0</v>
      </c>
      <c r="Z270" t="s">
        <v>319</v>
      </c>
      <c r="AA270" t="s">
        <v>1015</v>
      </c>
      <c r="AB270" t="s">
        <v>36</v>
      </c>
      <c r="AC270" t="s">
        <v>36</v>
      </c>
      <c r="AD270" t="s">
        <v>36</v>
      </c>
      <c r="AE270" t="s">
        <v>1303</v>
      </c>
      <c r="AF270" t="s">
        <v>1304</v>
      </c>
      <c r="AG270" s="1" t="s">
        <v>1305</v>
      </c>
    </row>
    <row r="271" spans="1:33" ht="15" customHeight="1" x14ac:dyDescent="0.25">
      <c r="A271" t="s">
        <v>1306</v>
      </c>
      <c r="B271" t="s">
        <v>1189</v>
      </c>
      <c r="C271">
        <v>0</v>
      </c>
      <c r="D271" t="s">
        <v>66</v>
      </c>
      <c r="E271" t="s">
        <v>1190</v>
      </c>
      <c r="F271" t="s">
        <v>36</v>
      </c>
      <c r="G271" t="s">
        <v>58</v>
      </c>
      <c r="H271">
        <v>13</v>
      </c>
      <c r="I271">
        <v>0</v>
      </c>
      <c r="J271" t="s">
        <v>1256</v>
      </c>
      <c r="K271">
        <v>4</v>
      </c>
      <c r="L271" t="s">
        <v>144</v>
      </c>
      <c r="M271">
        <v>30</v>
      </c>
      <c r="N271">
        <v>8</v>
      </c>
      <c r="O271">
        <v>10</v>
      </c>
      <c r="P271">
        <v>12</v>
      </c>
      <c r="Q271">
        <v>1</v>
      </c>
      <c r="R271">
        <v>7</v>
      </c>
      <c r="S271">
        <v>3</v>
      </c>
      <c r="T271">
        <v>-1</v>
      </c>
      <c r="U271">
        <v>0</v>
      </c>
      <c r="V271">
        <v>1</v>
      </c>
      <c r="W271">
        <v>-5</v>
      </c>
      <c r="X271">
        <v>-2</v>
      </c>
      <c r="Y271">
        <v>-4</v>
      </c>
      <c r="Z271" t="s">
        <v>36</v>
      </c>
      <c r="AA271" t="s">
        <v>98</v>
      </c>
      <c r="AB271" t="s">
        <v>36</v>
      </c>
      <c r="AC271" t="s">
        <v>36</v>
      </c>
      <c r="AD271" t="s">
        <v>36</v>
      </c>
      <c r="AE271" t="s">
        <v>1286</v>
      </c>
      <c r="AF271" t="s">
        <v>63</v>
      </c>
      <c r="AG271" s="1" t="s">
        <v>1307</v>
      </c>
    </row>
    <row r="272" spans="1:33" ht="15" customHeight="1" x14ac:dyDescent="0.25">
      <c r="A272" t="s">
        <v>1308</v>
      </c>
      <c r="B272" t="s">
        <v>1189</v>
      </c>
      <c r="C272">
        <v>0.25</v>
      </c>
      <c r="D272" t="s">
        <v>56</v>
      </c>
      <c r="E272" t="s">
        <v>1190</v>
      </c>
      <c r="F272" t="s">
        <v>36</v>
      </c>
      <c r="G272" t="s">
        <v>58</v>
      </c>
      <c r="H272">
        <v>11</v>
      </c>
      <c r="I272">
        <v>1</v>
      </c>
      <c r="J272" t="s">
        <v>506</v>
      </c>
      <c r="K272">
        <v>18</v>
      </c>
      <c r="L272" t="s">
        <v>318</v>
      </c>
      <c r="M272">
        <v>30</v>
      </c>
      <c r="N272">
        <v>12</v>
      </c>
      <c r="O272">
        <v>13</v>
      </c>
      <c r="P272">
        <v>11</v>
      </c>
      <c r="Q272">
        <v>2</v>
      </c>
      <c r="R272">
        <v>10</v>
      </c>
      <c r="S272">
        <v>3</v>
      </c>
      <c r="T272">
        <v>1</v>
      </c>
      <c r="U272">
        <v>1</v>
      </c>
      <c r="V272">
        <v>0</v>
      </c>
      <c r="W272">
        <v>-4</v>
      </c>
      <c r="X272">
        <v>0</v>
      </c>
      <c r="Y272">
        <v>-4</v>
      </c>
      <c r="Z272" t="s">
        <v>773</v>
      </c>
      <c r="AA272" t="s">
        <v>36</v>
      </c>
      <c r="AB272" t="s">
        <v>36</v>
      </c>
      <c r="AC272" t="s">
        <v>36</v>
      </c>
      <c r="AD272" t="s">
        <v>36</v>
      </c>
      <c r="AE272" t="s">
        <v>1309</v>
      </c>
      <c r="AF272" t="s">
        <v>63</v>
      </c>
      <c r="AG272" s="1" t="s">
        <v>1310</v>
      </c>
    </row>
    <row r="273" spans="1:33" ht="15" customHeight="1" x14ac:dyDescent="0.25">
      <c r="A273" t="s">
        <v>1311</v>
      </c>
      <c r="B273" t="s">
        <v>1189</v>
      </c>
      <c r="C273">
        <v>0.5</v>
      </c>
      <c r="D273" t="s">
        <v>34</v>
      </c>
      <c r="E273" t="s">
        <v>1190</v>
      </c>
      <c r="F273" t="s">
        <v>36</v>
      </c>
      <c r="G273" t="s">
        <v>58</v>
      </c>
      <c r="H273">
        <v>11</v>
      </c>
      <c r="I273">
        <v>1</v>
      </c>
      <c r="J273" t="s">
        <v>108</v>
      </c>
      <c r="K273">
        <v>19</v>
      </c>
      <c r="L273" t="s">
        <v>1229</v>
      </c>
      <c r="M273">
        <v>40</v>
      </c>
      <c r="N273">
        <v>17</v>
      </c>
      <c r="O273">
        <v>13</v>
      </c>
      <c r="P273">
        <v>12</v>
      </c>
      <c r="Q273">
        <v>3</v>
      </c>
      <c r="R273">
        <v>12</v>
      </c>
      <c r="S273">
        <v>6</v>
      </c>
      <c r="T273">
        <v>5</v>
      </c>
      <c r="U273">
        <v>1</v>
      </c>
      <c r="V273">
        <v>1</v>
      </c>
      <c r="W273">
        <v>-4</v>
      </c>
      <c r="X273">
        <v>1</v>
      </c>
      <c r="Y273">
        <v>-2</v>
      </c>
      <c r="Z273" t="s">
        <v>1211</v>
      </c>
      <c r="AA273" t="s">
        <v>36</v>
      </c>
      <c r="AB273" t="s">
        <v>36</v>
      </c>
      <c r="AC273" t="s">
        <v>36</v>
      </c>
      <c r="AD273" t="s">
        <v>36</v>
      </c>
      <c r="AE273" t="s">
        <v>475</v>
      </c>
      <c r="AF273" t="s">
        <v>63</v>
      </c>
      <c r="AG273" s="1" t="s">
        <v>1312</v>
      </c>
    </row>
    <row r="274" spans="1:33" ht="15" customHeight="1" x14ac:dyDescent="0.25">
      <c r="A274" t="s">
        <v>1313</v>
      </c>
      <c r="B274" t="s">
        <v>1189</v>
      </c>
      <c r="C274">
        <v>1</v>
      </c>
      <c r="D274" t="s">
        <v>34</v>
      </c>
      <c r="E274" t="s">
        <v>1190</v>
      </c>
      <c r="F274" t="s">
        <v>36</v>
      </c>
      <c r="G274" t="s">
        <v>58</v>
      </c>
      <c r="H274">
        <v>12</v>
      </c>
      <c r="I274">
        <v>2</v>
      </c>
      <c r="J274" t="s">
        <v>77</v>
      </c>
      <c r="K274">
        <v>45</v>
      </c>
      <c r="L274" t="s">
        <v>109</v>
      </c>
      <c r="M274">
        <v>50</v>
      </c>
      <c r="N274">
        <v>16</v>
      </c>
      <c r="O274">
        <v>14</v>
      </c>
      <c r="P274">
        <v>14</v>
      </c>
      <c r="Q274">
        <v>2</v>
      </c>
      <c r="R274">
        <v>12</v>
      </c>
      <c r="S274">
        <v>7</v>
      </c>
      <c r="T274">
        <v>3</v>
      </c>
      <c r="U274">
        <v>2</v>
      </c>
      <c r="V274">
        <v>2</v>
      </c>
      <c r="W274">
        <v>-4</v>
      </c>
      <c r="X274">
        <v>1</v>
      </c>
      <c r="Y274">
        <v>-2</v>
      </c>
      <c r="Z274" t="s">
        <v>1211</v>
      </c>
      <c r="AA274" t="s">
        <v>36</v>
      </c>
      <c r="AB274" t="s">
        <v>36</v>
      </c>
      <c r="AC274" t="s">
        <v>36</v>
      </c>
      <c r="AD274" t="s">
        <v>36</v>
      </c>
      <c r="AE274" t="s">
        <v>475</v>
      </c>
      <c r="AF274" t="s">
        <v>63</v>
      </c>
      <c r="AG274" s="1" t="s">
        <v>1314</v>
      </c>
    </row>
    <row r="275" spans="1:33" ht="15" customHeight="1" x14ac:dyDescent="0.25">
      <c r="A275" t="s">
        <v>1315</v>
      </c>
      <c r="B275" t="s">
        <v>1189</v>
      </c>
      <c r="C275">
        <v>0.25</v>
      </c>
      <c r="D275" t="s">
        <v>34</v>
      </c>
      <c r="E275" t="s">
        <v>1190</v>
      </c>
      <c r="F275" t="s">
        <v>36</v>
      </c>
      <c r="G275" t="s">
        <v>58</v>
      </c>
      <c r="H275">
        <v>12</v>
      </c>
      <c r="I275">
        <v>1</v>
      </c>
      <c r="J275" t="s">
        <v>108</v>
      </c>
      <c r="K275">
        <v>19</v>
      </c>
      <c r="L275" t="s">
        <v>761</v>
      </c>
      <c r="M275">
        <v>40</v>
      </c>
      <c r="N275">
        <v>15</v>
      </c>
      <c r="O275">
        <v>12</v>
      </c>
      <c r="P275">
        <v>13</v>
      </c>
      <c r="Q275">
        <v>2</v>
      </c>
      <c r="R275">
        <v>10</v>
      </c>
      <c r="S275">
        <v>5</v>
      </c>
      <c r="T275">
        <v>2</v>
      </c>
      <c r="U275">
        <v>3</v>
      </c>
      <c r="V275">
        <v>1</v>
      </c>
      <c r="W275">
        <v>-4</v>
      </c>
      <c r="X275">
        <v>0</v>
      </c>
      <c r="Y275">
        <v>-3</v>
      </c>
      <c r="Z275" t="s">
        <v>36</v>
      </c>
      <c r="AA275" t="s">
        <v>36</v>
      </c>
      <c r="AB275" t="s">
        <v>36</v>
      </c>
      <c r="AC275" t="s">
        <v>36</v>
      </c>
      <c r="AD275" t="s">
        <v>36</v>
      </c>
      <c r="AE275" t="s">
        <v>51</v>
      </c>
      <c r="AF275" t="s">
        <v>63</v>
      </c>
      <c r="AG275" s="1" t="s">
        <v>1316</v>
      </c>
    </row>
    <row r="276" spans="1:33" ht="15" customHeight="1" x14ac:dyDescent="0.25">
      <c r="A276" t="s">
        <v>1317</v>
      </c>
      <c r="B276" t="s">
        <v>1189</v>
      </c>
      <c r="C276">
        <v>1</v>
      </c>
      <c r="D276" t="s">
        <v>34</v>
      </c>
      <c r="E276" t="s">
        <v>1190</v>
      </c>
      <c r="F276" t="s">
        <v>36</v>
      </c>
      <c r="G276" t="s">
        <v>58</v>
      </c>
      <c r="H276">
        <v>11</v>
      </c>
      <c r="I276">
        <v>1</v>
      </c>
      <c r="J276" t="s">
        <v>854</v>
      </c>
      <c r="K276">
        <v>45</v>
      </c>
      <c r="L276" t="s">
        <v>1318</v>
      </c>
      <c r="M276">
        <v>10</v>
      </c>
      <c r="N276">
        <v>17</v>
      </c>
      <c r="O276">
        <v>13</v>
      </c>
      <c r="P276">
        <v>13</v>
      </c>
      <c r="Q276">
        <v>5</v>
      </c>
      <c r="R276">
        <v>10</v>
      </c>
      <c r="S276">
        <v>4</v>
      </c>
      <c r="T276">
        <v>3</v>
      </c>
      <c r="U276">
        <v>1</v>
      </c>
      <c r="V276">
        <v>1</v>
      </c>
      <c r="W276">
        <v>-3</v>
      </c>
      <c r="X276">
        <v>0</v>
      </c>
      <c r="Y276">
        <v>-3</v>
      </c>
      <c r="Z276" t="s">
        <v>454</v>
      </c>
      <c r="AA276" t="s">
        <v>36</v>
      </c>
      <c r="AB276" t="s">
        <v>36</v>
      </c>
      <c r="AC276" t="s">
        <v>36</v>
      </c>
      <c r="AD276" t="s">
        <v>36</v>
      </c>
      <c r="AE276" t="s">
        <v>321</v>
      </c>
      <c r="AF276" t="s">
        <v>63</v>
      </c>
      <c r="AG276" s="1" t="s">
        <v>1319</v>
      </c>
    </row>
    <row r="277" spans="1:33" ht="15" customHeight="1" x14ac:dyDescent="0.25">
      <c r="A277" t="s">
        <v>1320</v>
      </c>
      <c r="B277" t="s">
        <v>1189</v>
      </c>
      <c r="C277">
        <v>0.25</v>
      </c>
      <c r="D277" t="s">
        <v>34</v>
      </c>
      <c r="E277" t="s">
        <v>373</v>
      </c>
      <c r="F277" t="s">
        <v>36</v>
      </c>
      <c r="G277" t="s">
        <v>46</v>
      </c>
      <c r="H277">
        <v>12</v>
      </c>
      <c r="I277">
        <v>2</v>
      </c>
      <c r="J277" t="s">
        <v>108</v>
      </c>
      <c r="K277">
        <v>19</v>
      </c>
      <c r="L277" t="s">
        <v>1321</v>
      </c>
      <c r="M277">
        <v>5</v>
      </c>
      <c r="N277">
        <v>13</v>
      </c>
      <c r="O277">
        <v>15</v>
      </c>
      <c r="P277">
        <v>12</v>
      </c>
      <c r="Q277">
        <v>10</v>
      </c>
      <c r="R277">
        <v>14</v>
      </c>
      <c r="S277">
        <v>10</v>
      </c>
      <c r="T277">
        <v>1</v>
      </c>
      <c r="U277">
        <v>2</v>
      </c>
      <c r="V277">
        <v>1</v>
      </c>
      <c r="W277">
        <v>0</v>
      </c>
      <c r="X277">
        <v>4</v>
      </c>
      <c r="Y277">
        <v>0</v>
      </c>
      <c r="Z277" t="s">
        <v>1176</v>
      </c>
      <c r="AA277" t="s">
        <v>1015</v>
      </c>
      <c r="AB277" t="s">
        <v>36</v>
      </c>
      <c r="AC277" t="s">
        <v>36</v>
      </c>
      <c r="AD277" t="s">
        <v>36</v>
      </c>
      <c r="AE277" t="s">
        <v>443</v>
      </c>
      <c r="AF277" t="s">
        <v>1304</v>
      </c>
      <c r="AG277" s="1" t="s">
        <v>1322</v>
      </c>
    </row>
    <row r="278" spans="1:33" ht="15" customHeight="1" x14ac:dyDescent="0.25">
      <c r="A278" t="s">
        <v>1323</v>
      </c>
      <c r="B278" t="s">
        <v>1189</v>
      </c>
      <c r="C278">
        <v>0.125</v>
      </c>
      <c r="D278" t="s">
        <v>66</v>
      </c>
      <c r="E278" t="s">
        <v>1190</v>
      </c>
      <c r="F278" t="s">
        <v>36</v>
      </c>
      <c r="G278" t="s">
        <v>58</v>
      </c>
      <c r="H278">
        <v>13</v>
      </c>
      <c r="I278">
        <v>3</v>
      </c>
      <c r="J278" t="s">
        <v>552</v>
      </c>
      <c r="K278">
        <v>7</v>
      </c>
      <c r="L278" t="s">
        <v>144</v>
      </c>
      <c r="M278">
        <v>30</v>
      </c>
      <c r="N278">
        <v>7</v>
      </c>
      <c r="O278">
        <v>16</v>
      </c>
      <c r="P278">
        <v>11</v>
      </c>
      <c r="Q278">
        <v>2</v>
      </c>
      <c r="R278">
        <v>10</v>
      </c>
      <c r="S278">
        <v>4</v>
      </c>
      <c r="T278">
        <v>-2</v>
      </c>
      <c r="U278">
        <v>5</v>
      </c>
      <c r="V278">
        <v>0</v>
      </c>
      <c r="W278">
        <v>-4</v>
      </c>
      <c r="X278">
        <v>0</v>
      </c>
      <c r="Y278">
        <v>-3</v>
      </c>
      <c r="Z278" t="s">
        <v>631</v>
      </c>
      <c r="AA278" t="s">
        <v>36</v>
      </c>
      <c r="AB278" t="s">
        <v>36</v>
      </c>
      <c r="AC278" t="s">
        <v>36</v>
      </c>
      <c r="AD278" t="s">
        <v>36</v>
      </c>
      <c r="AE278" t="s">
        <v>612</v>
      </c>
      <c r="AF278" t="s">
        <v>63</v>
      </c>
      <c r="AG278" s="1" t="s">
        <v>1324</v>
      </c>
    </row>
    <row r="279" spans="1:33" ht="15" customHeight="1" x14ac:dyDescent="0.25">
      <c r="A279" t="s">
        <v>1325</v>
      </c>
      <c r="B279" t="s">
        <v>1189</v>
      </c>
      <c r="C279">
        <v>3</v>
      </c>
      <c r="D279" t="s">
        <v>34</v>
      </c>
      <c r="E279" t="s">
        <v>1190</v>
      </c>
      <c r="F279" t="s">
        <v>36</v>
      </c>
      <c r="G279" t="s">
        <v>58</v>
      </c>
      <c r="H279">
        <v>15</v>
      </c>
      <c r="I279">
        <v>1</v>
      </c>
      <c r="J279" t="s">
        <v>833</v>
      </c>
      <c r="K279">
        <v>52</v>
      </c>
      <c r="L279" t="s">
        <v>210</v>
      </c>
      <c r="M279">
        <v>40</v>
      </c>
      <c r="N279">
        <v>16</v>
      </c>
      <c r="O279">
        <v>13</v>
      </c>
      <c r="P279">
        <v>15</v>
      </c>
      <c r="Q279">
        <v>1</v>
      </c>
      <c r="R279">
        <v>9</v>
      </c>
      <c r="S279">
        <v>3</v>
      </c>
      <c r="T279">
        <v>3</v>
      </c>
      <c r="U279">
        <v>1</v>
      </c>
      <c r="V279">
        <v>2</v>
      </c>
      <c r="W279">
        <v>-5</v>
      </c>
      <c r="X279">
        <v>-1</v>
      </c>
      <c r="Y279">
        <v>-4</v>
      </c>
      <c r="Z279" t="s">
        <v>36</v>
      </c>
      <c r="AA279" t="s">
        <v>36</v>
      </c>
      <c r="AB279" t="s">
        <v>36</v>
      </c>
      <c r="AC279" t="s">
        <v>36</v>
      </c>
      <c r="AD279" t="s">
        <v>36</v>
      </c>
      <c r="AE279" t="s">
        <v>1326</v>
      </c>
      <c r="AF279" t="s">
        <v>63</v>
      </c>
      <c r="AG279" s="1" t="s">
        <v>1327</v>
      </c>
    </row>
    <row r="280" spans="1:33" ht="15" customHeight="1" x14ac:dyDescent="0.25">
      <c r="A280" t="s">
        <v>1328</v>
      </c>
      <c r="B280" t="s">
        <v>1189</v>
      </c>
      <c r="C280">
        <v>0.5</v>
      </c>
      <c r="D280" t="s">
        <v>34</v>
      </c>
      <c r="E280" t="s">
        <v>1190</v>
      </c>
      <c r="F280" t="s">
        <v>36</v>
      </c>
      <c r="G280" t="s">
        <v>58</v>
      </c>
      <c r="H280">
        <v>14</v>
      </c>
      <c r="I280">
        <v>1</v>
      </c>
      <c r="J280" t="s">
        <v>1329</v>
      </c>
      <c r="K280">
        <v>16</v>
      </c>
      <c r="L280" t="s">
        <v>1330</v>
      </c>
      <c r="M280">
        <v>5</v>
      </c>
      <c r="N280">
        <v>15</v>
      </c>
      <c r="O280">
        <v>12</v>
      </c>
      <c r="P280">
        <v>11</v>
      </c>
      <c r="Q280">
        <v>2</v>
      </c>
      <c r="R280">
        <v>12</v>
      </c>
      <c r="S280">
        <v>5</v>
      </c>
      <c r="T280">
        <v>2</v>
      </c>
      <c r="U280">
        <v>1</v>
      </c>
      <c r="V280">
        <v>0</v>
      </c>
      <c r="W280">
        <v>-4</v>
      </c>
      <c r="X280">
        <v>1</v>
      </c>
      <c r="Y280">
        <v>-3</v>
      </c>
      <c r="Z280" t="s">
        <v>36</v>
      </c>
      <c r="AA280" t="s">
        <v>36</v>
      </c>
      <c r="AB280" t="s">
        <v>36</v>
      </c>
      <c r="AC280" t="s">
        <v>36</v>
      </c>
      <c r="AD280" t="s">
        <v>36</v>
      </c>
      <c r="AE280" t="s">
        <v>116</v>
      </c>
      <c r="AF280" t="s">
        <v>63</v>
      </c>
      <c r="AG280" s="1" t="s">
        <v>1331</v>
      </c>
    </row>
    <row r="281" spans="1:33" ht="15" customHeight="1" x14ac:dyDescent="0.25">
      <c r="A281" t="s">
        <v>1332</v>
      </c>
      <c r="B281" t="s">
        <v>1189</v>
      </c>
      <c r="C281">
        <v>5</v>
      </c>
      <c r="D281" t="s">
        <v>103</v>
      </c>
      <c r="E281" t="s">
        <v>1190</v>
      </c>
      <c r="F281" t="s">
        <v>36</v>
      </c>
      <c r="G281" t="s">
        <v>58</v>
      </c>
      <c r="H281">
        <v>13</v>
      </c>
      <c r="I281">
        <v>3</v>
      </c>
      <c r="J281" t="s">
        <v>1333</v>
      </c>
      <c r="K281">
        <v>92</v>
      </c>
      <c r="L281" t="s">
        <v>1334</v>
      </c>
      <c r="M281">
        <v>5</v>
      </c>
      <c r="N281">
        <v>23</v>
      </c>
      <c r="O281">
        <v>11</v>
      </c>
      <c r="P281">
        <v>21</v>
      </c>
      <c r="Q281">
        <v>1</v>
      </c>
      <c r="R281">
        <v>10</v>
      </c>
      <c r="S281">
        <v>5</v>
      </c>
      <c r="T281">
        <v>6</v>
      </c>
      <c r="U281">
        <v>0</v>
      </c>
      <c r="V281">
        <v>5</v>
      </c>
      <c r="W281">
        <v>-5</v>
      </c>
      <c r="X281">
        <v>0</v>
      </c>
      <c r="Y281">
        <v>-3</v>
      </c>
      <c r="Z281" t="s">
        <v>1211</v>
      </c>
      <c r="AA281" t="s">
        <v>36</v>
      </c>
      <c r="AB281" t="s">
        <v>36</v>
      </c>
      <c r="AC281" t="s">
        <v>36</v>
      </c>
      <c r="AD281" t="s">
        <v>36</v>
      </c>
      <c r="AE281" t="s">
        <v>1335</v>
      </c>
      <c r="AF281" t="s">
        <v>63</v>
      </c>
      <c r="AG281" s="1" t="s">
        <v>1336</v>
      </c>
    </row>
    <row r="282" spans="1:33" ht="15" customHeight="1" x14ac:dyDescent="0.25">
      <c r="A282" t="s">
        <v>1337</v>
      </c>
      <c r="B282" t="s">
        <v>1189</v>
      </c>
      <c r="C282">
        <v>1</v>
      </c>
      <c r="D282" t="s">
        <v>34</v>
      </c>
      <c r="E282" t="s">
        <v>1190</v>
      </c>
      <c r="F282" t="s">
        <v>36</v>
      </c>
      <c r="G282" t="s">
        <v>58</v>
      </c>
      <c r="H282">
        <v>14</v>
      </c>
      <c r="I282">
        <v>3</v>
      </c>
      <c r="J282" t="s">
        <v>658</v>
      </c>
      <c r="K282">
        <v>26</v>
      </c>
      <c r="L282" t="s">
        <v>144</v>
      </c>
      <c r="M282">
        <v>30</v>
      </c>
      <c r="N282">
        <v>14</v>
      </c>
      <c r="O282">
        <v>16</v>
      </c>
      <c r="P282">
        <v>12</v>
      </c>
      <c r="Q282">
        <v>2</v>
      </c>
      <c r="R282">
        <v>11</v>
      </c>
      <c r="S282">
        <v>4</v>
      </c>
      <c r="T282">
        <v>2</v>
      </c>
      <c r="U282">
        <v>3</v>
      </c>
      <c r="V282">
        <v>1</v>
      </c>
      <c r="W282">
        <v>-4</v>
      </c>
      <c r="X282">
        <v>0</v>
      </c>
      <c r="Y282">
        <v>-3</v>
      </c>
      <c r="Z282" t="s">
        <v>1338</v>
      </c>
      <c r="AA282" t="s">
        <v>36</v>
      </c>
      <c r="AB282" t="s">
        <v>36</v>
      </c>
      <c r="AC282" t="s">
        <v>36</v>
      </c>
      <c r="AD282" t="s">
        <v>36</v>
      </c>
      <c r="AE282" t="s">
        <v>321</v>
      </c>
      <c r="AF282" t="s">
        <v>63</v>
      </c>
      <c r="AG282" s="1" t="s">
        <v>1339</v>
      </c>
    </row>
    <row r="283" spans="1:33" ht="15" customHeight="1" x14ac:dyDescent="0.25">
      <c r="A283" t="s">
        <v>1340</v>
      </c>
      <c r="B283" t="s">
        <v>1189</v>
      </c>
      <c r="C283">
        <v>1</v>
      </c>
      <c r="D283" t="s">
        <v>34</v>
      </c>
      <c r="E283" t="s">
        <v>1190</v>
      </c>
      <c r="F283" t="s">
        <v>36</v>
      </c>
      <c r="G283" t="s">
        <v>58</v>
      </c>
      <c r="H283">
        <v>11</v>
      </c>
      <c r="I283">
        <v>1</v>
      </c>
      <c r="J283" t="s">
        <v>1341</v>
      </c>
      <c r="K283">
        <v>39</v>
      </c>
      <c r="L283" t="s">
        <v>318</v>
      </c>
      <c r="M283">
        <v>30</v>
      </c>
      <c r="N283">
        <v>15</v>
      </c>
      <c r="O283">
        <v>13</v>
      </c>
      <c r="P283">
        <v>13</v>
      </c>
      <c r="Q283">
        <v>2</v>
      </c>
      <c r="R283">
        <v>10</v>
      </c>
      <c r="S283">
        <v>3</v>
      </c>
      <c r="T283">
        <v>2</v>
      </c>
      <c r="U283">
        <v>1</v>
      </c>
      <c r="V283">
        <v>1</v>
      </c>
      <c r="W283">
        <v>-4</v>
      </c>
      <c r="X283">
        <v>0</v>
      </c>
      <c r="Y283">
        <v>-4</v>
      </c>
      <c r="Z283" t="s">
        <v>36</v>
      </c>
      <c r="AA283" t="s">
        <v>36</v>
      </c>
      <c r="AB283" t="s">
        <v>36</v>
      </c>
      <c r="AC283" t="s">
        <v>36</v>
      </c>
      <c r="AD283" t="s">
        <v>36</v>
      </c>
      <c r="AE283" t="s">
        <v>51</v>
      </c>
      <c r="AF283" t="s">
        <v>63</v>
      </c>
      <c r="AG283" s="1" t="s">
        <v>1342</v>
      </c>
    </row>
    <row r="284" spans="1:33" ht="15" customHeight="1" x14ac:dyDescent="0.25">
      <c r="A284" t="s">
        <v>1343</v>
      </c>
      <c r="B284" t="s">
        <v>1189</v>
      </c>
      <c r="C284">
        <v>0.25</v>
      </c>
      <c r="D284" t="s">
        <v>56</v>
      </c>
      <c r="E284" t="s">
        <v>1190</v>
      </c>
      <c r="F284" t="s">
        <v>36</v>
      </c>
      <c r="G284" t="s">
        <v>58</v>
      </c>
      <c r="H284">
        <v>14</v>
      </c>
      <c r="I284">
        <v>4</v>
      </c>
      <c r="J284" t="s">
        <v>133</v>
      </c>
      <c r="K284">
        <v>11</v>
      </c>
      <c r="L284" t="s">
        <v>678</v>
      </c>
      <c r="M284">
        <v>40</v>
      </c>
      <c r="N284">
        <v>10</v>
      </c>
      <c r="O284">
        <v>18</v>
      </c>
      <c r="P284">
        <v>13</v>
      </c>
      <c r="Q284">
        <v>2</v>
      </c>
      <c r="R284">
        <v>10</v>
      </c>
      <c r="S284">
        <v>3</v>
      </c>
      <c r="T284">
        <v>0</v>
      </c>
      <c r="U284">
        <v>4</v>
      </c>
      <c r="V284">
        <v>1</v>
      </c>
      <c r="W284">
        <v>-4</v>
      </c>
      <c r="X284">
        <v>0</v>
      </c>
      <c r="Y284">
        <v>-4</v>
      </c>
      <c r="Z284" t="s">
        <v>631</v>
      </c>
      <c r="AA284" t="s">
        <v>36</v>
      </c>
      <c r="AB284" t="s">
        <v>36</v>
      </c>
      <c r="AC284" t="s">
        <v>36</v>
      </c>
      <c r="AD284" t="s">
        <v>36</v>
      </c>
      <c r="AE284" t="s">
        <v>1239</v>
      </c>
      <c r="AF284" t="s">
        <v>63</v>
      </c>
      <c r="AG284" s="1" t="s">
        <v>1344</v>
      </c>
    </row>
    <row r="285" spans="1:33" ht="15" customHeight="1" x14ac:dyDescent="0.25">
      <c r="A285" t="s">
        <v>1345</v>
      </c>
      <c r="B285" t="s">
        <v>1189</v>
      </c>
      <c r="C285">
        <v>1</v>
      </c>
      <c r="D285" t="s">
        <v>34</v>
      </c>
      <c r="E285" t="s">
        <v>76</v>
      </c>
      <c r="F285" t="s">
        <v>36</v>
      </c>
      <c r="G285" t="s">
        <v>159</v>
      </c>
      <c r="H285">
        <v>10</v>
      </c>
      <c r="I285">
        <v>0</v>
      </c>
      <c r="J285" t="s">
        <v>1346</v>
      </c>
      <c r="K285">
        <v>25</v>
      </c>
      <c r="L285" t="s">
        <v>1223</v>
      </c>
      <c r="M285">
        <v>10</v>
      </c>
      <c r="N285">
        <v>15</v>
      </c>
      <c r="O285">
        <v>10</v>
      </c>
      <c r="P285">
        <v>16</v>
      </c>
      <c r="Q285">
        <v>6</v>
      </c>
      <c r="R285">
        <v>12</v>
      </c>
      <c r="S285">
        <v>7</v>
      </c>
      <c r="T285">
        <v>2</v>
      </c>
      <c r="U285">
        <v>0</v>
      </c>
      <c r="V285">
        <v>3</v>
      </c>
      <c r="W285">
        <v>-2</v>
      </c>
      <c r="X285">
        <v>1</v>
      </c>
      <c r="Y285">
        <v>-2</v>
      </c>
      <c r="Z285" t="s">
        <v>1211</v>
      </c>
      <c r="AA285" t="s">
        <v>520</v>
      </c>
      <c r="AB285" t="s">
        <v>36</v>
      </c>
      <c r="AC285" t="s">
        <v>36</v>
      </c>
      <c r="AD285" t="s">
        <v>36</v>
      </c>
      <c r="AE285" t="s">
        <v>475</v>
      </c>
      <c r="AF285" t="s">
        <v>386</v>
      </c>
      <c r="AG285" s="1" t="s">
        <v>1347</v>
      </c>
    </row>
    <row r="286" spans="1:33" ht="15" customHeight="1" x14ac:dyDescent="0.25">
      <c r="A286" t="s">
        <v>1348</v>
      </c>
      <c r="B286" t="s">
        <v>1189</v>
      </c>
      <c r="C286">
        <v>0.5</v>
      </c>
      <c r="D286" t="s">
        <v>56</v>
      </c>
      <c r="E286" t="s">
        <v>1190</v>
      </c>
      <c r="F286" t="s">
        <v>36</v>
      </c>
      <c r="G286" t="s">
        <v>58</v>
      </c>
      <c r="H286">
        <v>13</v>
      </c>
      <c r="I286">
        <v>2</v>
      </c>
      <c r="J286" t="s">
        <v>453</v>
      </c>
      <c r="K286">
        <v>22</v>
      </c>
      <c r="L286" t="s">
        <v>1349</v>
      </c>
      <c r="M286">
        <v>10</v>
      </c>
      <c r="N286">
        <v>10</v>
      </c>
      <c r="O286">
        <v>14</v>
      </c>
      <c r="P286">
        <v>10</v>
      </c>
      <c r="Q286">
        <v>1</v>
      </c>
      <c r="R286">
        <v>10</v>
      </c>
      <c r="S286">
        <v>3</v>
      </c>
      <c r="T286">
        <v>0</v>
      </c>
      <c r="U286">
        <v>2</v>
      </c>
      <c r="V286">
        <v>0</v>
      </c>
      <c r="W286">
        <v>-5</v>
      </c>
      <c r="X286">
        <v>0</v>
      </c>
      <c r="Y286">
        <v>-4</v>
      </c>
      <c r="Z286" t="s">
        <v>36</v>
      </c>
      <c r="AA286" t="s">
        <v>36</v>
      </c>
      <c r="AB286" t="s">
        <v>36</v>
      </c>
      <c r="AC286" t="s">
        <v>36</v>
      </c>
      <c r="AD286" t="s">
        <v>36</v>
      </c>
      <c r="AE286" t="s">
        <v>99</v>
      </c>
      <c r="AF286" t="s">
        <v>63</v>
      </c>
      <c r="AG286" s="1" t="s">
        <v>1350</v>
      </c>
    </row>
    <row r="287" spans="1:33" ht="15" customHeight="1" x14ac:dyDescent="0.25">
      <c r="A287" t="s">
        <v>1351</v>
      </c>
      <c r="B287" t="s">
        <v>1189</v>
      </c>
      <c r="C287">
        <v>0.125</v>
      </c>
      <c r="D287" t="s">
        <v>56</v>
      </c>
      <c r="E287" t="s">
        <v>1190</v>
      </c>
      <c r="F287" t="s">
        <v>36</v>
      </c>
      <c r="G287" t="s">
        <v>58</v>
      </c>
      <c r="H287">
        <v>13</v>
      </c>
      <c r="I287">
        <v>3</v>
      </c>
      <c r="J287" t="s">
        <v>390</v>
      </c>
      <c r="K287">
        <v>9</v>
      </c>
      <c r="L287" t="s">
        <v>1229</v>
      </c>
      <c r="M287">
        <v>40</v>
      </c>
      <c r="N287">
        <v>11</v>
      </c>
      <c r="O287">
        <v>17</v>
      </c>
      <c r="P287">
        <v>10</v>
      </c>
      <c r="Q287">
        <v>4</v>
      </c>
      <c r="R287">
        <v>12</v>
      </c>
      <c r="S287">
        <v>5</v>
      </c>
      <c r="T287">
        <v>0</v>
      </c>
      <c r="U287">
        <v>3</v>
      </c>
      <c r="V287">
        <v>0</v>
      </c>
      <c r="W287">
        <v>-3</v>
      </c>
      <c r="X287">
        <v>1</v>
      </c>
      <c r="Y287">
        <v>-3</v>
      </c>
      <c r="Z287" t="s">
        <v>1352</v>
      </c>
      <c r="AA287" t="s">
        <v>36</v>
      </c>
      <c r="AB287" t="s">
        <v>36</v>
      </c>
      <c r="AC287" t="s">
        <v>36</v>
      </c>
      <c r="AD287" t="s">
        <v>36</v>
      </c>
      <c r="AE287" t="s">
        <v>475</v>
      </c>
      <c r="AF287" t="s">
        <v>63</v>
      </c>
      <c r="AG287" s="1" t="s">
        <v>1353</v>
      </c>
    </row>
    <row r="288" spans="1:33" ht="15" customHeight="1" x14ac:dyDescent="0.25">
      <c r="A288" t="s">
        <v>1354</v>
      </c>
      <c r="B288" t="s">
        <v>1189</v>
      </c>
      <c r="C288">
        <v>0.25</v>
      </c>
      <c r="D288" t="s">
        <v>56</v>
      </c>
      <c r="E288" t="s">
        <v>1190</v>
      </c>
      <c r="F288" t="s">
        <v>36</v>
      </c>
      <c r="G288" t="s">
        <v>58</v>
      </c>
      <c r="H288">
        <v>13</v>
      </c>
      <c r="I288">
        <v>3</v>
      </c>
      <c r="J288" t="s">
        <v>133</v>
      </c>
      <c r="K288">
        <v>11</v>
      </c>
      <c r="L288" t="s">
        <v>761</v>
      </c>
      <c r="M288">
        <v>40</v>
      </c>
      <c r="N288">
        <v>12</v>
      </c>
      <c r="O288">
        <v>16</v>
      </c>
      <c r="P288">
        <v>13</v>
      </c>
      <c r="Q288">
        <v>3</v>
      </c>
      <c r="R288">
        <v>12</v>
      </c>
      <c r="S288">
        <v>4</v>
      </c>
      <c r="T288">
        <v>1</v>
      </c>
      <c r="U288">
        <v>3</v>
      </c>
      <c r="V288">
        <v>1</v>
      </c>
      <c r="W288">
        <v>-4</v>
      </c>
      <c r="X288">
        <v>1</v>
      </c>
      <c r="Y288">
        <v>-3</v>
      </c>
      <c r="Z288" t="s">
        <v>1355</v>
      </c>
      <c r="AA288" t="s">
        <v>36</v>
      </c>
      <c r="AB288" t="s">
        <v>36</v>
      </c>
      <c r="AC288" t="s">
        <v>36</v>
      </c>
      <c r="AD288" t="s">
        <v>36</v>
      </c>
      <c r="AE288" t="s">
        <v>1356</v>
      </c>
      <c r="AF288" t="s">
        <v>63</v>
      </c>
      <c r="AG288" s="1" t="s">
        <v>1357</v>
      </c>
    </row>
    <row r="289" spans="1:33" ht="15" customHeight="1" x14ac:dyDescent="0.25">
      <c r="A289" t="s">
        <v>1358</v>
      </c>
      <c r="B289" t="s">
        <v>1189</v>
      </c>
      <c r="C289">
        <v>0</v>
      </c>
      <c r="D289" t="s">
        <v>56</v>
      </c>
      <c r="E289" t="s">
        <v>1190</v>
      </c>
      <c r="F289" t="s">
        <v>36</v>
      </c>
      <c r="G289" t="s">
        <v>58</v>
      </c>
      <c r="H289">
        <v>10</v>
      </c>
      <c r="I289">
        <v>0</v>
      </c>
      <c r="J289" t="s">
        <v>352</v>
      </c>
      <c r="K289">
        <v>4</v>
      </c>
      <c r="L289" t="s">
        <v>1229</v>
      </c>
      <c r="M289">
        <v>40</v>
      </c>
      <c r="N289">
        <v>11</v>
      </c>
      <c r="O289">
        <v>10</v>
      </c>
      <c r="P289">
        <v>11</v>
      </c>
      <c r="Q289">
        <v>2</v>
      </c>
      <c r="R289">
        <v>10</v>
      </c>
      <c r="S289">
        <v>5</v>
      </c>
      <c r="T289">
        <v>2</v>
      </c>
      <c r="U289">
        <v>0</v>
      </c>
      <c r="V289">
        <v>0</v>
      </c>
      <c r="W289">
        <v>-4</v>
      </c>
      <c r="X289">
        <v>0</v>
      </c>
      <c r="Y289">
        <v>-3</v>
      </c>
      <c r="Z289" t="s">
        <v>631</v>
      </c>
      <c r="AA289" t="s">
        <v>36</v>
      </c>
      <c r="AB289" t="s">
        <v>36</v>
      </c>
      <c r="AC289" t="s">
        <v>36</v>
      </c>
      <c r="AD289" t="s">
        <v>36</v>
      </c>
      <c r="AE289" t="s">
        <v>612</v>
      </c>
      <c r="AF289" t="s">
        <v>63</v>
      </c>
      <c r="AG289" s="1" t="s">
        <v>1359</v>
      </c>
    </row>
    <row r="290" spans="1:33" ht="15" customHeight="1" x14ac:dyDescent="0.25">
      <c r="A290" t="s">
        <v>1360</v>
      </c>
      <c r="B290" t="s">
        <v>1189</v>
      </c>
      <c r="C290">
        <v>0</v>
      </c>
      <c r="D290" t="s">
        <v>669</v>
      </c>
      <c r="E290" t="s">
        <v>1190</v>
      </c>
      <c r="F290" t="s">
        <v>36</v>
      </c>
      <c r="G290" t="s">
        <v>58</v>
      </c>
      <c r="H290">
        <v>13</v>
      </c>
      <c r="I290">
        <v>3</v>
      </c>
      <c r="J290" t="s">
        <v>1215</v>
      </c>
      <c r="K290">
        <v>1</v>
      </c>
      <c r="L290" t="s">
        <v>1223</v>
      </c>
      <c r="M290">
        <v>10</v>
      </c>
      <c r="N290">
        <v>5</v>
      </c>
      <c r="O290">
        <v>16</v>
      </c>
      <c r="P290">
        <v>8</v>
      </c>
      <c r="Q290">
        <v>2</v>
      </c>
      <c r="R290">
        <v>14</v>
      </c>
      <c r="S290">
        <v>6</v>
      </c>
      <c r="T290">
        <v>-3</v>
      </c>
      <c r="U290">
        <v>3</v>
      </c>
      <c r="V290">
        <v>-1</v>
      </c>
      <c r="W290">
        <v>-4</v>
      </c>
      <c r="X290">
        <v>2</v>
      </c>
      <c r="Y290">
        <v>-2</v>
      </c>
      <c r="Z290" t="s">
        <v>293</v>
      </c>
      <c r="AA290" t="s">
        <v>36</v>
      </c>
      <c r="AB290" t="s">
        <v>36</v>
      </c>
      <c r="AC290" t="s">
        <v>36</v>
      </c>
      <c r="AD290" t="s">
        <v>36</v>
      </c>
      <c r="AE290" t="s">
        <v>89</v>
      </c>
      <c r="AF290" t="s">
        <v>63</v>
      </c>
      <c r="AG290" s="1" t="s">
        <v>1361</v>
      </c>
    </row>
    <row r="291" spans="1:33" ht="15" customHeight="1" x14ac:dyDescent="0.25">
      <c r="A291" t="s">
        <v>1362</v>
      </c>
      <c r="B291" t="s">
        <v>1189</v>
      </c>
      <c r="C291">
        <v>4</v>
      </c>
      <c r="D291" t="s">
        <v>34</v>
      </c>
      <c r="E291" t="s">
        <v>1190</v>
      </c>
      <c r="F291" t="s">
        <v>36</v>
      </c>
      <c r="G291" t="s">
        <v>58</v>
      </c>
      <c r="H291">
        <v>14</v>
      </c>
      <c r="I291">
        <v>-2</v>
      </c>
      <c r="J291" t="s">
        <v>1363</v>
      </c>
      <c r="K291">
        <v>82</v>
      </c>
      <c r="L291" t="s">
        <v>318</v>
      </c>
      <c r="M291">
        <v>30</v>
      </c>
      <c r="N291">
        <v>21</v>
      </c>
      <c r="O291">
        <v>7</v>
      </c>
      <c r="P291">
        <v>15</v>
      </c>
      <c r="Q291">
        <v>2</v>
      </c>
      <c r="R291">
        <v>12</v>
      </c>
      <c r="S291">
        <v>4</v>
      </c>
      <c r="T291">
        <v>7</v>
      </c>
      <c r="U291">
        <v>-2</v>
      </c>
      <c r="V291">
        <v>2</v>
      </c>
      <c r="W291">
        <v>-4</v>
      </c>
      <c r="X291">
        <v>1</v>
      </c>
      <c r="Y291">
        <v>-3</v>
      </c>
      <c r="Z291" t="s">
        <v>1211</v>
      </c>
      <c r="AA291" t="s">
        <v>36</v>
      </c>
      <c r="AB291" t="s">
        <v>36</v>
      </c>
      <c r="AC291" t="s">
        <v>36</v>
      </c>
      <c r="AD291" t="s">
        <v>36</v>
      </c>
      <c r="AE291" t="s">
        <v>301</v>
      </c>
      <c r="AF291" t="s">
        <v>63</v>
      </c>
      <c r="AG291" s="1" t="s">
        <v>1364</v>
      </c>
    </row>
    <row r="292" spans="1:33" ht="15" customHeight="1" x14ac:dyDescent="0.25">
      <c r="A292" t="s">
        <v>1365</v>
      </c>
      <c r="B292" t="s">
        <v>1189</v>
      </c>
      <c r="C292">
        <v>2</v>
      </c>
      <c r="D292" t="s">
        <v>34</v>
      </c>
      <c r="E292" t="s">
        <v>1190</v>
      </c>
      <c r="F292" t="s">
        <v>36</v>
      </c>
      <c r="G292" t="s">
        <v>58</v>
      </c>
      <c r="H292">
        <v>12</v>
      </c>
      <c r="I292">
        <v>2</v>
      </c>
      <c r="J292" t="s">
        <v>77</v>
      </c>
      <c r="K292">
        <v>45</v>
      </c>
      <c r="L292" t="s">
        <v>1330</v>
      </c>
      <c r="M292">
        <v>5</v>
      </c>
      <c r="N292">
        <v>18</v>
      </c>
      <c r="O292">
        <v>14</v>
      </c>
      <c r="P292">
        <v>15</v>
      </c>
      <c r="Q292">
        <v>1</v>
      </c>
      <c r="R292">
        <v>10</v>
      </c>
      <c r="S292">
        <v>4</v>
      </c>
      <c r="T292">
        <v>4</v>
      </c>
      <c r="U292">
        <v>2</v>
      </c>
      <c r="V292">
        <v>2</v>
      </c>
      <c r="W292">
        <v>-5</v>
      </c>
      <c r="X292">
        <v>0</v>
      </c>
      <c r="Y292">
        <v>-3</v>
      </c>
      <c r="Z292" t="s">
        <v>631</v>
      </c>
      <c r="AA292" t="s">
        <v>36</v>
      </c>
      <c r="AB292" t="s">
        <v>36</v>
      </c>
      <c r="AC292" t="s">
        <v>36</v>
      </c>
      <c r="AD292" t="s">
        <v>36</v>
      </c>
      <c r="AE292" t="s">
        <v>1366</v>
      </c>
      <c r="AF292" t="s">
        <v>63</v>
      </c>
      <c r="AG292" s="1" t="s">
        <v>1367</v>
      </c>
    </row>
    <row r="293" spans="1:33" ht="15" customHeight="1" x14ac:dyDescent="0.25">
      <c r="A293" t="s">
        <v>1368</v>
      </c>
      <c r="B293" t="s">
        <v>1189</v>
      </c>
      <c r="C293">
        <v>0</v>
      </c>
      <c r="D293" t="s">
        <v>56</v>
      </c>
      <c r="E293" t="s">
        <v>1190</v>
      </c>
      <c r="F293" t="s">
        <v>36</v>
      </c>
      <c r="G293" t="s">
        <v>58</v>
      </c>
      <c r="H293">
        <v>11</v>
      </c>
      <c r="I293">
        <v>1</v>
      </c>
      <c r="J293" t="s">
        <v>1369</v>
      </c>
      <c r="K293">
        <v>5</v>
      </c>
      <c r="L293" t="s">
        <v>109</v>
      </c>
      <c r="M293">
        <v>50</v>
      </c>
      <c r="N293">
        <v>11</v>
      </c>
      <c r="O293">
        <v>13</v>
      </c>
      <c r="P293">
        <v>12</v>
      </c>
      <c r="Q293">
        <v>2</v>
      </c>
      <c r="R293">
        <v>12</v>
      </c>
      <c r="S293">
        <v>5</v>
      </c>
      <c r="T293">
        <v>0</v>
      </c>
      <c r="U293">
        <v>1</v>
      </c>
      <c r="V293">
        <v>1</v>
      </c>
      <c r="W293">
        <v>-4</v>
      </c>
      <c r="X293">
        <v>1</v>
      </c>
      <c r="Y293">
        <v>-3</v>
      </c>
      <c r="Z293" t="s">
        <v>1211</v>
      </c>
      <c r="AA293" t="s">
        <v>36</v>
      </c>
      <c r="AB293" t="s">
        <v>36</v>
      </c>
      <c r="AC293" t="s">
        <v>36</v>
      </c>
      <c r="AD293" t="s">
        <v>36</v>
      </c>
      <c r="AE293" t="s">
        <v>475</v>
      </c>
      <c r="AF293" t="s">
        <v>63</v>
      </c>
      <c r="AG293" s="1" t="s">
        <v>1370</v>
      </c>
    </row>
    <row r="294" spans="1:33" ht="15" customHeight="1" x14ac:dyDescent="0.25">
      <c r="A294" t="s">
        <v>1371</v>
      </c>
      <c r="B294" t="s">
        <v>1189</v>
      </c>
      <c r="C294">
        <v>0</v>
      </c>
      <c r="D294" t="s">
        <v>66</v>
      </c>
      <c r="E294" t="s">
        <v>1190</v>
      </c>
      <c r="F294" t="s">
        <v>36</v>
      </c>
      <c r="G294" t="s">
        <v>58</v>
      </c>
      <c r="H294">
        <v>12</v>
      </c>
      <c r="I294">
        <v>2</v>
      </c>
      <c r="J294" t="s">
        <v>1206</v>
      </c>
      <c r="K294">
        <v>3</v>
      </c>
      <c r="L294" t="s">
        <v>210</v>
      </c>
      <c r="M294">
        <v>40</v>
      </c>
      <c r="N294">
        <v>8</v>
      </c>
      <c r="O294">
        <v>15</v>
      </c>
      <c r="P294">
        <v>11</v>
      </c>
      <c r="Q294">
        <v>3</v>
      </c>
      <c r="R294">
        <v>12</v>
      </c>
      <c r="S294">
        <v>6</v>
      </c>
      <c r="T294">
        <v>-1</v>
      </c>
      <c r="U294">
        <v>2</v>
      </c>
      <c r="V294">
        <v>0</v>
      </c>
      <c r="W294">
        <v>-4</v>
      </c>
      <c r="X294">
        <v>1</v>
      </c>
      <c r="Y294">
        <v>-2</v>
      </c>
      <c r="Z294" t="s">
        <v>406</v>
      </c>
      <c r="AA294" t="s">
        <v>36</v>
      </c>
      <c r="AB294" t="s">
        <v>36</v>
      </c>
      <c r="AC294" t="s">
        <v>36</v>
      </c>
      <c r="AD294" t="s">
        <v>36</v>
      </c>
      <c r="AE294" t="s">
        <v>1372</v>
      </c>
      <c r="AF294" t="s">
        <v>63</v>
      </c>
      <c r="AG294" s="1" t="s">
        <v>1373</v>
      </c>
    </row>
    <row r="295" spans="1:33" ht="15" customHeight="1" x14ac:dyDescent="0.25">
      <c r="A295" t="s">
        <v>1374</v>
      </c>
      <c r="B295" t="s">
        <v>1189</v>
      </c>
      <c r="C295">
        <v>3</v>
      </c>
      <c r="D295" t="s">
        <v>103</v>
      </c>
      <c r="E295" t="s">
        <v>1190</v>
      </c>
      <c r="F295" t="s">
        <v>36</v>
      </c>
      <c r="G295" t="s">
        <v>58</v>
      </c>
      <c r="H295">
        <v>12</v>
      </c>
      <c r="I295">
        <v>2</v>
      </c>
      <c r="J295" t="s">
        <v>1202</v>
      </c>
      <c r="K295">
        <v>90</v>
      </c>
      <c r="L295" t="s">
        <v>1334</v>
      </c>
      <c r="M295">
        <v>5</v>
      </c>
      <c r="N295">
        <v>19</v>
      </c>
      <c r="O295">
        <v>14</v>
      </c>
      <c r="P295">
        <v>13</v>
      </c>
      <c r="Q295">
        <v>3</v>
      </c>
      <c r="R295">
        <v>12</v>
      </c>
      <c r="S295">
        <v>7</v>
      </c>
      <c r="T295">
        <v>4</v>
      </c>
      <c r="U295">
        <v>2</v>
      </c>
      <c r="V295">
        <v>1</v>
      </c>
      <c r="W295">
        <v>-4</v>
      </c>
      <c r="X295">
        <v>1</v>
      </c>
      <c r="Y295">
        <v>-2</v>
      </c>
      <c r="Z295" t="s">
        <v>1153</v>
      </c>
      <c r="AA295" t="s">
        <v>36</v>
      </c>
      <c r="AB295" t="s">
        <v>36</v>
      </c>
      <c r="AC295" t="s">
        <v>36</v>
      </c>
      <c r="AD295" t="s">
        <v>36</v>
      </c>
      <c r="AE295" t="s">
        <v>1375</v>
      </c>
      <c r="AF295" t="s">
        <v>63</v>
      </c>
      <c r="AG295" s="1" t="s">
        <v>1376</v>
      </c>
    </row>
    <row r="296" spans="1:33" ht="15" customHeight="1" x14ac:dyDescent="0.25">
      <c r="A296" t="s">
        <v>1377</v>
      </c>
      <c r="B296" t="s">
        <v>1189</v>
      </c>
      <c r="C296">
        <v>1</v>
      </c>
      <c r="D296" t="s">
        <v>34</v>
      </c>
      <c r="E296" t="s">
        <v>1190</v>
      </c>
      <c r="F296" t="s">
        <v>36</v>
      </c>
      <c r="G296" t="s">
        <v>58</v>
      </c>
      <c r="H296">
        <v>12</v>
      </c>
      <c r="I296">
        <v>2</v>
      </c>
      <c r="J296" t="s">
        <v>1277</v>
      </c>
      <c r="K296">
        <v>22</v>
      </c>
      <c r="L296" t="s">
        <v>109</v>
      </c>
      <c r="M296">
        <v>50</v>
      </c>
      <c r="N296">
        <v>17</v>
      </c>
      <c r="O296">
        <v>15</v>
      </c>
      <c r="P296">
        <v>11</v>
      </c>
      <c r="Q296">
        <v>3</v>
      </c>
      <c r="R296">
        <v>12</v>
      </c>
      <c r="S296">
        <v>8</v>
      </c>
      <c r="T296">
        <v>3</v>
      </c>
      <c r="U296">
        <v>2</v>
      </c>
      <c r="V296">
        <v>0</v>
      </c>
      <c r="W296">
        <v>-4</v>
      </c>
      <c r="X296">
        <v>1</v>
      </c>
      <c r="Y296">
        <v>-1</v>
      </c>
      <c r="Z296" t="s">
        <v>1153</v>
      </c>
      <c r="AA296" t="s">
        <v>36</v>
      </c>
      <c r="AB296" t="s">
        <v>36</v>
      </c>
      <c r="AC296" t="s">
        <v>36</v>
      </c>
      <c r="AD296" t="s">
        <v>36</v>
      </c>
      <c r="AE296" t="s">
        <v>475</v>
      </c>
      <c r="AF296" t="s">
        <v>63</v>
      </c>
      <c r="AG296" s="1" t="s">
        <v>1378</v>
      </c>
    </row>
    <row r="297" spans="1:33" ht="15" customHeight="1" x14ac:dyDescent="0.25">
      <c r="A297" t="s">
        <v>1379</v>
      </c>
      <c r="B297" t="s">
        <v>1189</v>
      </c>
      <c r="C297">
        <v>0</v>
      </c>
      <c r="D297" t="s">
        <v>669</v>
      </c>
      <c r="E297" t="s">
        <v>1190</v>
      </c>
      <c r="F297" t="s">
        <v>36</v>
      </c>
      <c r="G297" t="s">
        <v>58</v>
      </c>
      <c r="H297">
        <v>10</v>
      </c>
      <c r="I297">
        <v>0</v>
      </c>
      <c r="J297" t="s">
        <v>1235</v>
      </c>
      <c r="K297">
        <v>2</v>
      </c>
      <c r="L297" t="s">
        <v>202</v>
      </c>
      <c r="M297">
        <v>20</v>
      </c>
      <c r="N297">
        <v>2</v>
      </c>
      <c r="O297">
        <v>11</v>
      </c>
      <c r="P297">
        <v>10</v>
      </c>
      <c r="Q297">
        <v>1</v>
      </c>
      <c r="R297">
        <v>8</v>
      </c>
      <c r="S297">
        <v>3</v>
      </c>
      <c r="T297">
        <v>-4</v>
      </c>
      <c r="U297">
        <v>0</v>
      </c>
      <c r="V297">
        <v>0</v>
      </c>
      <c r="W297">
        <v>-5</v>
      </c>
      <c r="X297">
        <v>-1</v>
      </c>
      <c r="Y297">
        <v>-4</v>
      </c>
      <c r="Z297" t="s">
        <v>36</v>
      </c>
      <c r="AA297" t="s">
        <v>36</v>
      </c>
      <c r="AB297" t="s">
        <v>36</v>
      </c>
      <c r="AC297" t="s">
        <v>36</v>
      </c>
      <c r="AD297" t="s">
        <v>36</v>
      </c>
      <c r="AE297" t="s">
        <v>1380</v>
      </c>
      <c r="AF297" t="s">
        <v>63</v>
      </c>
      <c r="AG297" s="1" t="s">
        <v>1381</v>
      </c>
    </row>
    <row r="298" spans="1:33" ht="15" customHeight="1" x14ac:dyDescent="0.25">
      <c r="A298" t="s">
        <v>1382</v>
      </c>
      <c r="B298" t="s">
        <v>1189</v>
      </c>
      <c r="C298">
        <v>6</v>
      </c>
      <c r="D298" t="s">
        <v>103</v>
      </c>
      <c r="E298" t="s">
        <v>1190</v>
      </c>
      <c r="F298" t="s">
        <v>36</v>
      </c>
      <c r="G298" t="s">
        <v>58</v>
      </c>
      <c r="H298">
        <v>13</v>
      </c>
      <c r="I298">
        <v>2</v>
      </c>
      <c r="J298" t="s">
        <v>1037</v>
      </c>
      <c r="K298">
        <v>126</v>
      </c>
      <c r="L298" t="s">
        <v>109</v>
      </c>
      <c r="M298">
        <v>50</v>
      </c>
      <c r="N298">
        <v>24</v>
      </c>
      <c r="O298">
        <v>9</v>
      </c>
      <c r="P298">
        <v>21</v>
      </c>
      <c r="Q298">
        <v>3</v>
      </c>
      <c r="R298">
        <v>11</v>
      </c>
      <c r="S298">
        <v>6</v>
      </c>
      <c r="T298">
        <v>10</v>
      </c>
      <c r="U298">
        <v>-1</v>
      </c>
      <c r="V298">
        <v>8</v>
      </c>
      <c r="W298">
        <v>-4</v>
      </c>
      <c r="X298">
        <v>0</v>
      </c>
      <c r="Y298">
        <v>-2</v>
      </c>
      <c r="Z298" t="s">
        <v>36</v>
      </c>
      <c r="AA298" t="s">
        <v>36</v>
      </c>
      <c r="AB298" t="s">
        <v>36</v>
      </c>
      <c r="AC298" t="s">
        <v>36</v>
      </c>
      <c r="AD298" t="s">
        <v>36</v>
      </c>
      <c r="AE298" t="s">
        <v>99</v>
      </c>
      <c r="AF298" t="s">
        <v>63</v>
      </c>
      <c r="AG298" s="1" t="s">
        <v>1383</v>
      </c>
    </row>
    <row r="299" spans="1:33" ht="15" customHeight="1" x14ac:dyDescent="0.25">
      <c r="A299" t="s">
        <v>1384</v>
      </c>
      <c r="B299" t="s">
        <v>1189</v>
      </c>
      <c r="C299">
        <v>0.125</v>
      </c>
      <c r="D299" t="s">
        <v>56</v>
      </c>
      <c r="E299" t="s">
        <v>1190</v>
      </c>
      <c r="F299" t="s">
        <v>36</v>
      </c>
      <c r="G299" t="s">
        <v>58</v>
      </c>
      <c r="H299">
        <v>12</v>
      </c>
      <c r="I299">
        <v>2</v>
      </c>
      <c r="J299" t="s">
        <v>1369</v>
      </c>
      <c r="K299">
        <v>5</v>
      </c>
      <c r="L299" t="s">
        <v>210</v>
      </c>
      <c r="M299">
        <v>40</v>
      </c>
      <c r="N299">
        <v>13</v>
      </c>
      <c r="O299">
        <v>14</v>
      </c>
      <c r="P299">
        <v>12</v>
      </c>
      <c r="Q299">
        <v>3</v>
      </c>
      <c r="R299">
        <v>12</v>
      </c>
      <c r="S299">
        <v>7</v>
      </c>
      <c r="T299">
        <v>1</v>
      </c>
      <c r="U299">
        <v>2</v>
      </c>
      <c r="V299">
        <v>1</v>
      </c>
      <c r="W299">
        <v>-4</v>
      </c>
      <c r="X299">
        <v>3</v>
      </c>
      <c r="Y299">
        <v>-2</v>
      </c>
      <c r="Z299" t="s">
        <v>617</v>
      </c>
      <c r="AA299" t="s">
        <v>36</v>
      </c>
      <c r="AB299" t="s">
        <v>36</v>
      </c>
      <c r="AC299" t="s">
        <v>36</v>
      </c>
      <c r="AD299" t="s">
        <v>36</v>
      </c>
      <c r="AE299" t="s">
        <v>212</v>
      </c>
      <c r="AF299" t="s">
        <v>63</v>
      </c>
      <c r="AG299" s="1" t="s">
        <v>1385</v>
      </c>
    </row>
    <row r="300" spans="1:33" ht="15" customHeight="1" x14ac:dyDescent="0.25">
      <c r="A300" t="s">
        <v>1386</v>
      </c>
      <c r="B300" t="s">
        <v>1189</v>
      </c>
      <c r="C300">
        <v>0.125</v>
      </c>
      <c r="D300" t="s">
        <v>56</v>
      </c>
      <c r="E300" t="s">
        <v>1190</v>
      </c>
      <c r="F300" t="s">
        <v>36</v>
      </c>
      <c r="G300" t="s">
        <v>58</v>
      </c>
      <c r="H300">
        <v>10</v>
      </c>
      <c r="I300">
        <v>0</v>
      </c>
      <c r="J300" t="s">
        <v>133</v>
      </c>
      <c r="K300">
        <v>11</v>
      </c>
      <c r="L300" t="s">
        <v>210</v>
      </c>
      <c r="M300">
        <v>40</v>
      </c>
      <c r="N300">
        <v>14</v>
      </c>
      <c r="O300">
        <v>10</v>
      </c>
      <c r="P300">
        <v>13</v>
      </c>
      <c r="Q300">
        <v>2</v>
      </c>
      <c r="R300">
        <v>10</v>
      </c>
      <c r="S300">
        <v>5</v>
      </c>
      <c r="T300">
        <v>4</v>
      </c>
      <c r="U300">
        <v>0</v>
      </c>
      <c r="V300">
        <v>1</v>
      </c>
      <c r="W300">
        <v>-4</v>
      </c>
      <c r="X300">
        <v>0</v>
      </c>
      <c r="Y300">
        <v>-3</v>
      </c>
      <c r="Z300" t="s">
        <v>36</v>
      </c>
      <c r="AA300" t="s">
        <v>36</v>
      </c>
      <c r="AB300" t="s">
        <v>36</v>
      </c>
      <c r="AC300" t="s">
        <v>36</v>
      </c>
      <c r="AD300" t="s">
        <v>36</v>
      </c>
      <c r="AE300" t="s">
        <v>99</v>
      </c>
      <c r="AF300" t="s">
        <v>63</v>
      </c>
      <c r="AG300" s="1" t="s">
        <v>1387</v>
      </c>
    </row>
    <row r="301" spans="1:33" ht="15" customHeight="1" x14ac:dyDescent="0.25">
      <c r="A301" t="s">
        <v>1388</v>
      </c>
      <c r="B301" t="s">
        <v>1189</v>
      </c>
      <c r="C301">
        <v>0</v>
      </c>
      <c r="D301" t="s">
        <v>66</v>
      </c>
      <c r="E301" t="s">
        <v>1190</v>
      </c>
      <c r="F301" t="s">
        <v>36</v>
      </c>
      <c r="G301" t="s">
        <v>58</v>
      </c>
      <c r="H301">
        <v>12</v>
      </c>
      <c r="I301">
        <v>2</v>
      </c>
      <c r="J301" t="s">
        <v>1206</v>
      </c>
      <c r="K301">
        <v>3</v>
      </c>
      <c r="L301" t="s">
        <v>1389</v>
      </c>
      <c r="M301">
        <v>5</v>
      </c>
      <c r="N301">
        <v>4</v>
      </c>
      <c r="O301">
        <v>15</v>
      </c>
      <c r="P301">
        <v>11</v>
      </c>
      <c r="Q301">
        <v>3</v>
      </c>
      <c r="R301">
        <v>10</v>
      </c>
      <c r="S301">
        <v>4</v>
      </c>
      <c r="T301">
        <v>-3</v>
      </c>
      <c r="U301">
        <v>2</v>
      </c>
      <c r="V301">
        <v>0</v>
      </c>
      <c r="W301">
        <v>-4</v>
      </c>
      <c r="X301">
        <v>0</v>
      </c>
      <c r="Y301">
        <v>-3</v>
      </c>
      <c r="Z301" t="s">
        <v>1390</v>
      </c>
      <c r="AA301" t="s">
        <v>36</v>
      </c>
      <c r="AB301" t="s">
        <v>36</v>
      </c>
      <c r="AC301" t="s">
        <v>36</v>
      </c>
      <c r="AD301" t="s">
        <v>36</v>
      </c>
      <c r="AE301" t="s">
        <v>1309</v>
      </c>
      <c r="AF301" t="s">
        <v>63</v>
      </c>
      <c r="AG301" s="1" t="s">
        <v>1391</v>
      </c>
    </row>
    <row r="302" spans="1:33" ht="15" customHeight="1" x14ac:dyDescent="0.25">
      <c r="A302" t="s">
        <v>1392</v>
      </c>
      <c r="B302" t="s">
        <v>1189</v>
      </c>
      <c r="C302">
        <v>0</v>
      </c>
      <c r="D302" t="s">
        <v>669</v>
      </c>
      <c r="E302" t="s">
        <v>1190</v>
      </c>
      <c r="F302" t="s">
        <v>36</v>
      </c>
      <c r="G302" t="s">
        <v>58</v>
      </c>
      <c r="H302">
        <v>11</v>
      </c>
      <c r="I302">
        <v>1</v>
      </c>
      <c r="J302" t="s">
        <v>1215</v>
      </c>
      <c r="K302">
        <v>1</v>
      </c>
      <c r="L302" t="s">
        <v>1321</v>
      </c>
      <c r="M302">
        <v>5</v>
      </c>
      <c r="N302">
        <v>3</v>
      </c>
      <c r="O302">
        <v>13</v>
      </c>
      <c r="P302">
        <v>8</v>
      </c>
      <c r="Q302">
        <v>2</v>
      </c>
      <c r="R302">
        <v>12</v>
      </c>
      <c r="S302">
        <v>7</v>
      </c>
      <c r="T302">
        <v>-4</v>
      </c>
      <c r="U302">
        <v>1</v>
      </c>
      <c r="V302">
        <v>-1</v>
      </c>
      <c r="W302">
        <v>-4</v>
      </c>
      <c r="X302">
        <v>1</v>
      </c>
      <c r="Y302">
        <v>-2</v>
      </c>
      <c r="Z302" t="s">
        <v>211</v>
      </c>
      <c r="AA302" t="s">
        <v>36</v>
      </c>
      <c r="AB302" t="s">
        <v>36</v>
      </c>
      <c r="AC302" t="s">
        <v>36</v>
      </c>
      <c r="AD302" t="s">
        <v>36</v>
      </c>
      <c r="AE302" t="s">
        <v>408</v>
      </c>
      <c r="AF302" t="s">
        <v>63</v>
      </c>
      <c r="AG302" s="1" t="s">
        <v>1393</v>
      </c>
    </row>
    <row r="303" spans="1:33" ht="15" customHeight="1" x14ac:dyDescent="0.25">
      <c r="A303" t="s">
        <v>1394</v>
      </c>
      <c r="B303" t="s">
        <v>1189</v>
      </c>
      <c r="C303">
        <v>0.25</v>
      </c>
      <c r="D303" t="s">
        <v>56</v>
      </c>
      <c r="E303" t="s">
        <v>1190</v>
      </c>
      <c r="F303" t="s">
        <v>36</v>
      </c>
      <c r="G303" t="s">
        <v>58</v>
      </c>
      <c r="H303">
        <v>13</v>
      </c>
      <c r="I303">
        <v>3</v>
      </c>
      <c r="J303" t="s">
        <v>500</v>
      </c>
      <c r="K303">
        <v>13</v>
      </c>
      <c r="L303" t="s">
        <v>1395</v>
      </c>
      <c r="M303">
        <v>50</v>
      </c>
      <c r="N303">
        <v>14</v>
      </c>
      <c r="O303">
        <v>16</v>
      </c>
      <c r="P303">
        <v>10</v>
      </c>
      <c r="Q303">
        <v>3</v>
      </c>
      <c r="R303">
        <v>14</v>
      </c>
      <c r="S303">
        <v>7</v>
      </c>
      <c r="T303">
        <v>2</v>
      </c>
      <c r="U303">
        <v>3</v>
      </c>
      <c r="V303">
        <v>0</v>
      </c>
      <c r="W303">
        <v>-4</v>
      </c>
      <c r="X303">
        <v>2</v>
      </c>
      <c r="Y303">
        <v>-2</v>
      </c>
      <c r="Z303" t="s">
        <v>1338</v>
      </c>
      <c r="AA303" t="s">
        <v>36</v>
      </c>
      <c r="AB303" t="s">
        <v>36</v>
      </c>
      <c r="AC303" t="s">
        <v>36</v>
      </c>
      <c r="AD303" t="s">
        <v>36</v>
      </c>
      <c r="AE303" t="s">
        <v>321</v>
      </c>
      <c r="AF303" t="s">
        <v>63</v>
      </c>
      <c r="AG303" s="1" t="s">
        <v>1396</v>
      </c>
    </row>
    <row r="304" spans="1:33" ht="15" customHeight="1" x14ac:dyDescent="0.25">
      <c r="A304" t="s">
        <v>1397</v>
      </c>
      <c r="B304" t="s">
        <v>1189</v>
      </c>
      <c r="C304">
        <v>0</v>
      </c>
      <c r="D304" t="s">
        <v>669</v>
      </c>
      <c r="E304" t="s">
        <v>1190</v>
      </c>
      <c r="F304" t="s">
        <v>36</v>
      </c>
      <c r="G304" t="s">
        <v>58</v>
      </c>
      <c r="H304">
        <v>13</v>
      </c>
      <c r="I304">
        <v>3</v>
      </c>
      <c r="J304" t="s">
        <v>1215</v>
      </c>
      <c r="K304">
        <v>1</v>
      </c>
      <c r="L304" t="s">
        <v>1330</v>
      </c>
      <c r="M304">
        <v>5</v>
      </c>
      <c r="N304">
        <v>2</v>
      </c>
      <c r="O304">
        <v>16</v>
      </c>
      <c r="P304">
        <v>9</v>
      </c>
      <c r="Q304">
        <v>1</v>
      </c>
      <c r="R304">
        <v>7</v>
      </c>
      <c r="S304">
        <v>2</v>
      </c>
      <c r="T304">
        <v>-4</v>
      </c>
      <c r="U304">
        <v>3</v>
      </c>
      <c r="V304">
        <v>-1</v>
      </c>
      <c r="W304">
        <v>-5</v>
      </c>
      <c r="X304">
        <v>-2</v>
      </c>
      <c r="Y304">
        <v>-4</v>
      </c>
      <c r="Z304" t="s">
        <v>36</v>
      </c>
      <c r="AA304" t="s">
        <v>36</v>
      </c>
      <c r="AB304" t="s">
        <v>36</v>
      </c>
      <c r="AC304" t="s">
        <v>36</v>
      </c>
      <c r="AD304" t="s">
        <v>36</v>
      </c>
      <c r="AE304" t="s">
        <v>717</v>
      </c>
      <c r="AF304" t="s">
        <v>63</v>
      </c>
      <c r="AG304" s="1" t="s">
        <v>1398</v>
      </c>
    </row>
    <row r="305" spans="1:33" ht="15" customHeight="1" x14ac:dyDescent="0.25">
      <c r="A305" t="s">
        <v>1399</v>
      </c>
      <c r="B305" t="s">
        <v>1189</v>
      </c>
      <c r="C305">
        <v>2</v>
      </c>
      <c r="D305" t="s">
        <v>34</v>
      </c>
      <c r="E305" t="s">
        <v>1190</v>
      </c>
      <c r="F305" t="s">
        <v>1191</v>
      </c>
      <c r="G305" t="s">
        <v>58</v>
      </c>
      <c r="H305">
        <v>13</v>
      </c>
      <c r="I305">
        <v>2</v>
      </c>
      <c r="J305" t="s">
        <v>201</v>
      </c>
      <c r="K305">
        <v>68</v>
      </c>
      <c r="L305" t="s">
        <v>1400</v>
      </c>
      <c r="M305">
        <v>20</v>
      </c>
      <c r="N305">
        <v>18</v>
      </c>
      <c r="O305">
        <v>15</v>
      </c>
      <c r="P305">
        <v>16</v>
      </c>
      <c r="Q305">
        <v>2</v>
      </c>
      <c r="R305">
        <v>12</v>
      </c>
      <c r="S305">
        <v>5</v>
      </c>
      <c r="T305">
        <v>4</v>
      </c>
      <c r="U305">
        <v>2</v>
      </c>
      <c r="V305">
        <v>3</v>
      </c>
      <c r="W305">
        <v>-4</v>
      </c>
      <c r="X305">
        <v>1</v>
      </c>
      <c r="Y305">
        <v>-3</v>
      </c>
      <c r="Z305" t="s">
        <v>1153</v>
      </c>
      <c r="AA305" t="s">
        <v>36</v>
      </c>
      <c r="AB305" t="s">
        <v>36</v>
      </c>
      <c r="AC305" t="s">
        <v>36</v>
      </c>
      <c r="AD305" t="s">
        <v>36</v>
      </c>
      <c r="AE305" t="s">
        <v>301</v>
      </c>
      <c r="AF305" t="s">
        <v>63</v>
      </c>
      <c r="AG305" s="1" t="s">
        <v>1401</v>
      </c>
    </row>
    <row r="306" spans="1:33" ht="15" customHeight="1" x14ac:dyDescent="0.25">
      <c r="A306" t="s">
        <v>1402</v>
      </c>
      <c r="B306" t="s">
        <v>1189</v>
      </c>
      <c r="C306">
        <v>2</v>
      </c>
      <c r="D306" t="s">
        <v>34</v>
      </c>
      <c r="E306" t="s">
        <v>1190</v>
      </c>
      <c r="F306" t="s">
        <v>36</v>
      </c>
      <c r="G306" t="s">
        <v>58</v>
      </c>
      <c r="H306">
        <v>12</v>
      </c>
      <c r="I306">
        <v>2</v>
      </c>
      <c r="J306" t="s">
        <v>1281</v>
      </c>
      <c r="K306">
        <v>42</v>
      </c>
      <c r="L306" t="s">
        <v>678</v>
      </c>
      <c r="M306">
        <v>40</v>
      </c>
      <c r="N306">
        <v>20</v>
      </c>
      <c r="O306">
        <v>14</v>
      </c>
      <c r="P306">
        <v>16</v>
      </c>
      <c r="Q306">
        <v>2</v>
      </c>
      <c r="R306">
        <v>13</v>
      </c>
      <c r="S306">
        <v>7</v>
      </c>
      <c r="T306">
        <v>5</v>
      </c>
      <c r="U306">
        <v>2</v>
      </c>
      <c r="V306">
        <v>3</v>
      </c>
      <c r="W306">
        <v>-4</v>
      </c>
      <c r="X306">
        <v>1</v>
      </c>
      <c r="Y306">
        <v>-2</v>
      </c>
      <c r="Z306" t="s">
        <v>406</v>
      </c>
      <c r="AA306" t="s">
        <v>146</v>
      </c>
      <c r="AB306" t="s">
        <v>36</v>
      </c>
      <c r="AC306" t="s">
        <v>36</v>
      </c>
      <c r="AD306" t="s">
        <v>36</v>
      </c>
      <c r="AE306" t="s">
        <v>212</v>
      </c>
      <c r="AF306" t="s">
        <v>63</v>
      </c>
      <c r="AG306" s="1" t="s">
        <v>1403</v>
      </c>
    </row>
    <row r="307" spans="1:33" ht="15" customHeight="1" x14ac:dyDescent="0.25">
      <c r="A307" t="s">
        <v>1404</v>
      </c>
      <c r="B307" t="s">
        <v>1189</v>
      </c>
      <c r="C307">
        <v>0.125</v>
      </c>
      <c r="D307" t="s">
        <v>56</v>
      </c>
      <c r="E307" t="s">
        <v>1190</v>
      </c>
      <c r="F307" t="s">
        <v>36</v>
      </c>
      <c r="G307" t="s">
        <v>58</v>
      </c>
      <c r="H307">
        <v>10</v>
      </c>
      <c r="I307">
        <v>0</v>
      </c>
      <c r="J307" t="s">
        <v>133</v>
      </c>
      <c r="K307">
        <v>11</v>
      </c>
      <c r="L307" t="s">
        <v>210</v>
      </c>
      <c r="M307">
        <v>40</v>
      </c>
      <c r="N307">
        <v>15</v>
      </c>
      <c r="O307">
        <v>10</v>
      </c>
      <c r="P307">
        <v>13</v>
      </c>
      <c r="Q307">
        <v>2</v>
      </c>
      <c r="R307">
        <v>11</v>
      </c>
      <c r="S307">
        <v>7</v>
      </c>
      <c r="T307">
        <v>4</v>
      </c>
      <c r="U307">
        <v>0</v>
      </c>
      <c r="V307">
        <v>1</v>
      </c>
      <c r="W307">
        <v>-4</v>
      </c>
      <c r="X307">
        <v>0</v>
      </c>
      <c r="Y307">
        <v>-2</v>
      </c>
      <c r="Z307" t="s">
        <v>36</v>
      </c>
      <c r="AA307" t="s">
        <v>36</v>
      </c>
      <c r="AB307" t="s">
        <v>36</v>
      </c>
      <c r="AC307" t="s">
        <v>36</v>
      </c>
      <c r="AD307" t="s">
        <v>36</v>
      </c>
      <c r="AE307" t="s">
        <v>99</v>
      </c>
      <c r="AF307" t="s">
        <v>63</v>
      </c>
      <c r="AG307" s="1" t="s">
        <v>1405</v>
      </c>
    </row>
    <row r="308" spans="1:33" ht="15" customHeight="1" x14ac:dyDescent="0.25">
      <c r="A308" t="s">
        <v>1406</v>
      </c>
      <c r="B308" t="s">
        <v>1189</v>
      </c>
      <c r="C308">
        <v>0.25</v>
      </c>
      <c r="D308" t="s">
        <v>56</v>
      </c>
      <c r="E308" t="s">
        <v>1190</v>
      </c>
      <c r="F308" t="s">
        <v>1191</v>
      </c>
      <c r="G308" t="s">
        <v>58</v>
      </c>
      <c r="H308">
        <v>13</v>
      </c>
      <c r="I308">
        <v>2</v>
      </c>
      <c r="J308" t="s">
        <v>500</v>
      </c>
      <c r="K308">
        <v>13</v>
      </c>
      <c r="L308" t="s">
        <v>1223</v>
      </c>
      <c r="M308">
        <v>10</v>
      </c>
      <c r="N308">
        <v>12</v>
      </c>
      <c r="O308">
        <v>15</v>
      </c>
      <c r="P308">
        <v>10</v>
      </c>
      <c r="Q308">
        <v>2</v>
      </c>
      <c r="R308">
        <v>9</v>
      </c>
      <c r="S308">
        <v>5</v>
      </c>
      <c r="T308">
        <v>1</v>
      </c>
      <c r="U308">
        <v>2</v>
      </c>
      <c r="V308">
        <v>0</v>
      </c>
      <c r="W308">
        <v>-4</v>
      </c>
      <c r="X308">
        <v>-1</v>
      </c>
      <c r="Y308">
        <v>-3</v>
      </c>
      <c r="Z308" t="s">
        <v>1407</v>
      </c>
      <c r="AA308" t="s">
        <v>36</v>
      </c>
      <c r="AB308" t="s">
        <v>36</v>
      </c>
      <c r="AC308" t="s">
        <v>36</v>
      </c>
      <c r="AD308" t="s">
        <v>36</v>
      </c>
      <c r="AE308" t="s">
        <v>116</v>
      </c>
      <c r="AF308" t="s">
        <v>63</v>
      </c>
      <c r="AG308" s="1" t="s">
        <v>1408</v>
      </c>
    </row>
    <row r="309" spans="1:33" ht="15" customHeight="1" x14ac:dyDescent="0.25">
      <c r="A309" t="s">
        <v>1409</v>
      </c>
      <c r="B309" t="s">
        <v>1189</v>
      </c>
      <c r="C309">
        <v>0</v>
      </c>
      <c r="D309" t="s">
        <v>669</v>
      </c>
      <c r="E309" t="s">
        <v>1190</v>
      </c>
      <c r="F309" t="s">
        <v>36</v>
      </c>
      <c r="G309" t="s">
        <v>58</v>
      </c>
      <c r="H309">
        <v>10</v>
      </c>
      <c r="I309">
        <v>0</v>
      </c>
      <c r="J309" t="s">
        <v>1215</v>
      </c>
      <c r="K309">
        <v>1</v>
      </c>
      <c r="L309" t="s">
        <v>202</v>
      </c>
      <c r="M309">
        <v>20</v>
      </c>
      <c r="N309">
        <v>2</v>
      </c>
      <c r="O309">
        <v>11</v>
      </c>
      <c r="P309">
        <v>9</v>
      </c>
      <c r="Q309">
        <v>2</v>
      </c>
      <c r="R309">
        <v>10</v>
      </c>
      <c r="S309">
        <v>4</v>
      </c>
      <c r="T309">
        <v>-4</v>
      </c>
      <c r="U309">
        <v>0</v>
      </c>
      <c r="V309">
        <v>-1</v>
      </c>
      <c r="W309">
        <v>-4</v>
      </c>
      <c r="X309">
        <v>0</v>
      </c>
      <c r="Y309">
        <v>-3</v>
      </c>
      <c r="Z309" t="s">
        <v>631</v>
      </c>
      <c r="AA309" t="s">
        <v>36</v>
      </c>
      <c r="AB309" t="s">
        <v>36</v>
      </c>
      <c r="AC309" t="s">
        <v>36</v>
      </c>
      <c r="AD309" t="s">
        <v>36</v>
      </c>
      <c r="AE309" t="s">
        <v>1309</v>
      </c>
      <c r="AF309" t="s">
        <v>63</v>
      </c>
      <c r="AG309" s="1" t="s">
        <v>1410</v>
      </c>
    </row>
    <row r="310" spans="1:33" ht="15" customHeight="1" x14ac:dyDescent="0.25">
      <c r="A310" t="s">
        <v>1411</v>
      </c>
      <c r="B310" t="s">
        <v>1189</v>
      </c>
      <c r="C310">
        <v>0</v>
      </c>
      <c r="D310" t="s">
        <v>669</v>
      </c>
      <c r="E310" t="s">
        <v>1190</v>
      </c>
      <c r="F310" t="s">
        <v>36</v>
      </c>
      <c r="G310" t="s">
        <v>58</v>
      </c>
      <c r="H310">
        <v>12</v>
      </c>
      <c r="I310">
        <v>2</v>
      </c>
      <c r="J310" t="s">
        <v>1235</v>
      </c>
      <c r="K310">
        <v>2</v>
      </c>
      <c r="L310" t="s">
        <v>1349</v>
      </c>
      <c r="M310">
        <v>10</v>
      </c>
      <c r="N310">
        <v>2</v>
      </c>
      <c r="O310">
        <v>14</v>
      </c>
      <c r="P310">
        <v>10</v>
      </c>
      <c r="Q310">
        <v>5</v>
      </c>
      <c r="R310">
        <v>13</v>
      </c>
      <c r="S310">
        <v>6</v>
      </c>
      <c r="T310">
        <v>-4</v>
      </c>
      <c r="U310">
        <v>2</v>
      </c>
      <c r="V310">
        <v>0</v>
      </c>
      <c r="W310">
        <v>-3</v>
      </c>
      <c r="X310">
        <v>1</v>
      </c>
      <c r="Y310">
        <v>-2</v>
      </c>
      <c r="Z310" t="s">
        <v>1211</v>
      </c>
      <c r="AA310" t="s">
        <v>36</v>
      </c>
      <c r="AB310" t="s">
        <v>36</v>
      </c>
      <c r="AC310" t="s">
        <v>36</v>
      </c>
      <c r="AD310" t="s">
        <v>36</v>
      </c>
      <c r="AE310" t="s">
        <v>301</v>
      </c>
      <c r="AF310" t="s">
        <v>63</v>
      </c>
      <c r="AG310" s="1" t="s">
        <v>1412</v>
      </c>
    </row>
    <row r="311" spans="1:33" ht="15" customHeight="1" x14ac:dyDescent="0.25">
      <c r="A311" t="s">
        <v>1413</v>
      </c>
      <c r="B311" t="s">
        <v>1189</v>
      </c>
      <c r="C311">
        <v>0.5</v>
      </c>
      <c r="D311" t="s">
        <v>56</v>
      </c>
      <c r="E311" t="s">
        <v>1190</v>
      </c>
      <c r="F311" t="s">
        <v>36</v>
      </c>
      <c r="G311" t="s">
        <v>58</v>
      </c>
      <c r="H311">
        <v>12</v>
      </c>
      <c r="I311">
        <v>2</v>
      </c>
      <c r="J311" t="s">
        <v>209</v>
      </c>
      <c r="K311">
        <v>22</v>
      </c>
      <c r="L311" t="s">
        <v>1389</v>
      </c>
      <c r="M311">
        <v>5</v>
      </c>
      <c r="N311">
        <v>14</v>
      </c>
      <c r="O311">
        <v>15</v>
      </c>
      <c r="P311">
        <v>13</v>
      </c>
      <c r="Q311">
        <v>1</v>
      </c>
      <c r="R311">
        <v>10</v>
      </c>
      <c r="S311">
        <v>4</v>
      </c>
      <c r="T311">
        <v>2</v>
      </c>
      <c r="U311">
        <v>2</v>
      </c>
      <c r="V311">
        <v>1</v>
      </c>
      <c r="W311">
        <v>-5</v>
      </c>
      <c r="X311">
        <v>0</v>
      </c>
      <c r="Y311">
        <v>-3</v>
      </c>
      <c r="Z311" t="s">
        <v>631</v>
      </c>
      <c r="AA311" t="s">
        <v>36</v>
      </c>
      <c r="AB311" t="s">
        <v>36</v>
      </c>
      <c r="AC311" t="s">
        <v>36</v>
      </c>
      <c r="AD311" t="s">
        <v>36</v>
      </c>
      <c r="AE311" t="s">
        <v>1414</v>
      </c>
      <c r="AF311" t="s">
        <v>63</v>
      </c>
      <c r="AG311" s="1" t="s">
        <v>1415</v>
      </c>
    </row>
    <row r="312" spans="1:33" ht="15" customHeight="1" x14ac:dyDescent="0.25">
      <c r="A312" t="s">
        <v>1416</v>
      </c>
      <c r="B312" t="s">
        <v>1189</v>
      </c>
      <c r="C312">
        <v>2</v>
      </c>
      <c r="D312" t="s">
        <v>34</v>
      </c>
      <c r="E312" t="s">
        <v>1190</v>
      </c>
      <c r="F312" t="s">
        <v>36</v>
      </c>
      <c r="G312" t="s">
        <v>58</v>
      </c>
      <c r="H312">
        <v>13</v>
      </c>
      <c r="I312">
        <v>-1</v>
      </c>
      <c r="J312" t="s">
        <v>77</v>
      </c>
      <c r="K312">
        <v>45</v>
      </c>
      <c r="L312" t="s">
        <v>210</v>
      </c>
      <c r="M312">
        <v>40</v>
      </c>
      <c r="N312">
        <v>21</v>
      </c>
      <c r="O312">
        <v>8</v>
      </c>
      <c r="P312">
        <v>15</v>
      </c>
      <c r="Q312">
        <v>2</v>
      </c>
      <c r="R312">
        <v>12</v>
      </c>
      <c r="S312">
        <v>6</v>
      </c>
      <c r="T312">
        <v>5</v>
      </c>
      <c r="U312">
        <v>-1</v>
      </c>
      <c r="V312">
        <v>2</v>
      </c>
      <c r="W312">
        <v>-4</v>
      </c>
      <c r="X312">
        <v>1</v>
      </c>
      <c r="Y312">
        <v>-2</v>
      </c>
      <c r="Z312" t="s">
        <v>36</v>
      </c>
      <c r="AA312" t="s">
        <v>36</v>
      </c>
      <c r="AB312" t="s">
        <v>36</v>
      </c>
      <c r="AC312" t="s">
        <v>36</v>
      </c>
      <c r="AD312" t="s">
        <v>36</v>
      </c>
      <c r="AE312" t="s">
        <v>116</v>
      </c>
      <c r="AF312" t="s">
        <v>63</v>
      </c>
      <c r="AG312" s="1" t="s">
        <v>1417</v>
      </c>
    </row>
    <row r="313" spans="1:33" ht="15" customHeight="1" x14ac:dyDescent="0.25">
      <c r="A313" t="s">
        <v>1418</v>
      </c>
      <c r="B313" t="s">
        <v>1189</v>
      </c>
      <c r="C313">
        <v>0.25</v>
      </c>
      <c r="D313" t="s">
        <v>34</v>
      </c>
      <c r="E313" t="s">
        <v>1190</v>
      </c>
      <c r="F313" t="s">
        <v>36</v>
      </c>
      <c r="G313" t="s">
        <v>58</v>
      </c>
      <c r="H313">
        <v>11</v>
      </c>
      <c r="I313">
        <v>1</v>
      </c>
      <c r="J313" t="s">
        <v>1238</v>
      </c>
      <c r="K313">
        <v>13</v>
      </c>
      <c r="L313" t="s">
        <v>990</v>
      </c>
      <c r="M313">
        <v>60</v>
      </c>
      <c r="N313">
        <v>16</v>
      </c>
      <c r="O313">
        <v>13</v>
      </c>
      <c r="P313">
        <v>12</v>
      </c>
      <c r="Q313">
        <v>2</v>
      </c>
      <c r="R313">
        <v>11</v>
      </c>
      <c r="S313">
        <v>7</v>
      </c>
      <c r="T313">
        <v>3</v>
      </c>
      <c r="U313">
        <v>1</v>
      </c>
      <c r="V313">
        <v>1</v>
      </c>
      <c r="W313">
        <v>-4</v>
      </c>
      <c r="X313">
        <v>0</v>
      </c>
      <c r="Y313">
        <v>-2</v>
      </c>
      <c r="Z313" t="s">
        <v>36</v>
      </c>
      <c r="AA313" t="s">
        <v>36</v>
      </c>
      <c r="AB313" t="s">
        <v>36</v>
      </c>
      <c r="AC313" t="s">
        <v>36</v>
      </c>
      <c r="AD313" t="s">
        <v>36</v>
      </c>
      <c r="AE313" t="s">
        <v>99</v>
      </c>
      <c r="AF313" t="s">
        <v>63</v>
      </c>
      <c r="AG313" s="1" t="s">
        <v>1419</v>
      </c>
    </row>
    <row r="314" spans="1:33" ht="15" customHeight="1" x14ac:dyDescent="0.25">
      <c r="A314" t="s">
        <v>1420</v>
      </c>
      <c r="B314" t="s">
        <v>1189</v>
      </c>
      <c r="C314">
        <v>2</v>
      </c>
      <c r="D314" t="s">
        <v>34</v>
      </c>
      <c r="E314" t="s">
        <v>1190</v>
      </c>
      <c r="F314" t="s">
        <v>36</v>
      </c>
      <c r="G314" t="s">
        <v>58</v>
      </c>
      <c r="H314">
        <v>13</v>
      </c>
      <c r="I314">
        <v>3</v>
      </c>
      <c r="J314" t="s">
        <v>833</v>
      </c>
      <c r="K314">
        <v>52</v>
      </c>
      <c r="L314" t="s">
        <v>210</v>
      </c>
      <c r="M314">
        <v>40</v>
      </c>
      <c r="N314">
        <v>18</v>
      </c>
      <c r="O314">
        <v>17</v>
      </c>
      <c r="P314">
        <v>15</v>
      </c>
      <c r="Q314">
        <v>3</v>
      </c>
      <c r="R314">
        <v>12</v>
      </c>
      <c r="S314">
        <v>8</v>
      </c>
      <c r="T314">
        <v>6</v>
      </c>
      <c r="U314">
        <v>5</v>
      </c>
      <c r="V314">
        <v>2</v>
      </c>
      <c r="W314">
        <v>-4</v>
      </c>
      <c r="X314">
        <v>1</v>
      </c>
      <c r="Y314">
        <v>-1</v>
      </c>
      <c r="Z314" t="s">
        <v>1421</v>
      </c>
      <c r="AA314" t="s">
        <v>36</v>
      </c>
      <c r="AB314" t="s">
        <v>36</v>
      </c>
      <c r="AC314" t="s">
        <v>36</v>
      </c>
      <c r="AD314" t="s">
        <v>36</v>
      </c>
      <c r="AE314" t="s">
        <v>212</v>
      </c>
      <c r="AF314" t="s">
        <v>63</v>
      </c>
      <c r="AG314" s="1" t="s">
        <v>1422</v>
      </c>
    </row>
    <row r="315" spans="1:33" ht="15" customHeight="1" x14ac:dyDescent="0.25">
      <c r="A315" t="s">
        <v>1423</v>
      </c>
      <c r="B315" t="s">
        <v>1189</v>
      </c>
      <c r="C315">
        <v>0</v>
      </c>
      <c r="D315" t="s">
        <v>669</v>
      </c>
      <c r="E315" t="s">
        <v>1190</v>
      </c>
      <c r="F315" t="s">
        <v>36</v>
      </c>
      <c r="G315" t="s">
        <v>58</v>
      </c>
      <c r="H315">
        <v>11</v>
      </c>
      <c r="I315">
        <v>0</v>
      </c>
      <c r="J315" t="s">
        <v>1215</v>
      </c>
      <c r="K315">
        <v>1</v>
      </c>
      <c r="L315" t="s">
        <v>73</v>
      </c>
      <c r="M315">
        <v>10</v>
      </c>
      <c r="N315">
        <v>2</v>
      </c>
      <c r="O315">
        <v>11</v>
      </c>
      <c r="P315">
        <v>8</v>
      </c>
      <c r="Q315">
        <v>1</v>
      </c>
      <c r="R315">
        <v>8</v>
      </c>
      <c r="S315">
        <v>2</v>
      </c>
      <c r="T315">
        <v>-4</v>
      </c>
      <c r="U315">
        <v>0</v>
      </c>
      <c r="V315">
        <v>-1</v>
      </c>
      <c r="W315">
        <v>-5</v>
      </c>
      <c r="X315">
        <v>-1</v>
      </c>
      <c r="Y315">
        <v>-4</v>
      </c>
      <c r="Z315" t="s">
        <v>36</v>
      </c>
      <c r="AA315" t="s">
        <v>36</v>
      </c>
      <c r="AB315" t="s">
        <v>36</v>
      </c>
      <c r="AC315" t="s">
        <v>36</v>
      </c>
      <c r="AD315" t="s">
        <v>36</v>
      </c>
      <c r="AE315" t="s">
        <v>1424</v>
      </c>
      <c r="AF315" t="s">
        <v>63</v>
      </c>
      <c r="AG315" s="1" t="s">
        <v>1425</v>
      </c>
    </row>
    <row r="316" spans="1:33" ht="15" customHeight="1" x14ac:dyDescent="0.25">
      <c r="A316" t="s">
        <v>1426</v>
      </c>
      <c r="B316" t="s">
        <v>1189</v>
      </c>
      <c r="C316">
        <v>0</v>
      </c>
      <c r="D316" t="s">
        <v>669</v>
      </c>
      <c r="E316" t="s">
        <v>1190</v>
      </c>
      <c r="F316" t="s">
        <v>36</v>
      </c>
      <c r="G316" t="s">
        <v>58</v>
      </c>
      <c r="H316">
        <v>12</v>
      </c>
      <c r="I316">
        <v>1</v>
      </c>
      <c r="J316" t="s">
        <v>1215</v>
      </c>
      <c r="K316">
        <v>1</v>
      </c>
      <c r="L316" t="s">
        <v>1427</v>
      </c>
      <c r="M316">
        <v>5</v>
      </c>
      <c r="N316">
        <v>1</v>
      </c>
      <c r="O316">
        <v>12</v>
      </c>
      <c r="P316">
        <v>8</v>
      </c>
      <c r="Q316">
        <v>1</v>
      </c>
      <c r="R316">
        <v>10</v>
      </c>
      <c r="S316">
        <v>2</v>
      </c>
      <c r="T316">
        <v>-5</v>
      </c>
      <c r="U316">
        <v>1</v>
      </c>
      <c r="V316">
        <v>-1</v>
      </c>
      <c r="W316">
        <v>-5</v>
      </c>
      <c r="X316">
        <v>0</v>
      </c>
      <c r="Y316">
        <v>-4</v>
      </c>
      <c r="Z316" t="s">
        <v>1428</v>
      </c>
      <c r="AA316" t="s">
        <v>36</v>
      </c>
      <c r="AB316" t="s">
        <v>36</v>
      </c>
      <c r="AC316" t="s">
        <v>36</v>
      </c>
      <c r="AD316" t="s">
        <v>36</v>
      </c>
      <c r="AE316" t="s">
        <v>398</v>
      </c>
      <c r="AF316" t="s">
        <v>63</v>
      </c>
      <c r="AG316" s="1" t="s">
        <v>1429</v>
      </c>
    </row>
    <row r="317" spans="1:33" ht="15" customHeight="1" x14ac:dyDescent="0.25">
      <c r="A317" t="s">
        <v>1430</v>
      </c>
      <c r="B317" t="s">
        <v>1189</v>
      </c>
      <c r="C317">
        <v>0</v>
      </c>
      <c r="D317" t="s">
        <v>669</v>
      </c>
      <c r="E317" t="s">
        <v>1190</v>
      </c>
      <c r="F317" t="s">
        <v>36</v>
      </c>
      <c r="G317" t="s">
        <v>58</v>
      </c>
      <c r="H317">
        <v>12</v>
      </c>
      <c r="I317">
        <v>2</v>
      </c>
      <c r="J317" t="s">
        <v>1215</v>
      </c>
      <c r="K317">
        <v>1</v>
      </c>
      <c r="L317" t="s">
        <v>202</v>
      </c>
      <c r="M317">
        <v>20</v>
      </c>
      <c r="N317">
        <v>2</v>
      </c>
      <c r="O317">
        <v>14</v>
      </c>
      <c r="P317">
        <v>8</v>
      </c>
      <c r="Q317">
        <v>1</v>
      </c>
      <c r="R317">
        <v>10</v>
      </c>
      <c r="S317">
        <v>2</v>
      </c>
      <c r="T317">
        <v>-4</v>
      </c>
      <c r="U317">
        <v>2</v>
      </c>
      <c r="V317">
        <v>-1</v>
      </c>
      <c r="W317">
        <v>-5</v>
      </c>
      <c r="X317">
        <v>0</v>
      </c>
      <c r="Y317">
        <v>-4</v>
      </c>
      <c r="Z317" t="s">
        <v>509</v>
      </c>
      <c r="AA317" t="s">
        <v>36</v>
      </c>
      <c r="AB317" t="s">
        <v>36</v>
      </c>
      <c r="AC317" t="s">
        <v>36</v>
      </c>
      <c r="AD317" t="s">
        <v>36</v>
      </c>
      <c r="AE317" t="s">
        <v>1431</v>
      </c>
      <c r="AF317" t="s">
        <v>63</v>
      </c>
      <c r="AG317" s="1" t="s">
        <v>1432</v>
      </c>
    </row>
    <row r="318" spans="1:33" ht="15" customHeight="1" x14ac:dyDescent="0.25">
      <c r="A318" t="s">
        <v>1433</v>
      </c>
      <c r="B318" t="s">
        <v>1189</v>
      </c>
      <c r="C318">
        <v>0.25</v>
      </c>
      <c r="D318" t="s">
        <v>34</v>
      </c>
      <c r="E318" t="s">
        <v>1434</v>
      </c>
      <c r="F318" t="s">
        <v>36</v>
      </c>
      <c r="G318" t="s">
        <v>58</v>
      </c>
      <c r="H318">
        <v>12</v>
      </c>
      <c r="I318">
        <v>2</v>
      </c>
      <c r="J318" t="s">
        <v>1262</v>
      </c>
      <c r="K318">
        <v>11</v>
      </c>
      <c r="L318" t="s">
        <v>1216</v>
      </c>
      <c r="M318">
        <v>5</v>
      </c>
      <c r="N318">
        <v>5</v>
      </c>
      <c r="O318">
        <v>15</v>
      </c>
      <c r="P318">
        <v>10</v>
      </c>
      <c r="Q318">
        <v>2</v>
      </c>
      <c r="R318">
        <v>12</v>
      </c>
      <c r="S318">
        <v>4</v>
      </c>
      <c r="T318">
        <v>-3</v>
      </c>
      <c r="U318">
        <v>2</v>
      </c>
      <c r="V318">
        <v>0</v>
      </c>
      <c r="W318">
        <v>-4</v>
      </c>
      <c r="X318">
        <v>1</v>
      </c>
      <c r="Y318">
        <v>-3</v>
      </c>
      <c r="Z318" t="s">
        <v>36</v>
      </c>
      <c r="AA318" t="s">
        <v>326</v>
      </c>
      <c r="AB318" t="s">
        <v>36</v>
      </c>
      <c r="AC318" t="s">
        <v>1435</v>
      </c>
      <c r="AD318" t="s">
        <v>36</v>
      </c>
      <c r="AE318" t="s">
        <v>1217</v>
      </c>
      <c r="AF318" t="s">
        <v>63</v>
      </c>
      <c r="AG318" s="1" t="s">
        <v>1436</v>
      </c>
    </row>
    <row r="319" spans="1:33" ht="15" customHeight="1" x14ac:dyDescent="0.25">
      <c r="A319" t="s">
        <v>1437</v>
      </c>
      <c r="B319" t="s">
        <v>1189</v>
      </c>
      <c r="C319">
        <v>0.5</v>
      </c>
      <c r="D319" t="s">
        <v>56</v>
      </c>
      <c r="E319" t="s">
        <v>1434</v>
      </c>
      <c r="F319" t="s">
        <v>36</v>
      </c>
      <c r="G319" t="s">
        <v>58</v>
      </c>
      <c r="H319">
        <v>11</v>
      </c>
      <c r="I319">
        <v>1</v>
      </c>
      <c r="J319" t="s">
        <v>1198</v>
      </c>
      <c r="K319">
        <v>19</v>
      </c>
      <c r="L319" t="s">
        <v>1438</v>
      </c>
      <c r="M319">
        <v>20</v>
      </c>
      <c r="N319">
        <v>3</v>
      </c>
      <c r="O319">
        <v>13</v>
      </c>
      <c r="P319">
        <v>14</v>
      </c>
      <c r="Q319">
        <v>1</v>
      </c>
      <c r="R319">
        <v>7</v>
      </c>
      <c r="S319">
        <v>1</v>
      </c>
      <c r="T319">
        <v>-4</v>
      </c>
      <c r="U319">
        <v>1</v>
      </c>
      <c r="V319">
        <v>2</v>
      </c>
      <c r="W319">
        <v>-5</v>
      </c>
      <c r="X319">
        <v>-2</v>
      </c>
      <c r="Y319">
        <v>-5</v>
      </c>
      <c r="Z319" t="s">
        <v>36</v>
      </c>
      <c r="AA319" t="s">
        <v>326</v>
      </c>
      <c r="AB319" t="s">
        <v>36</v>
      </c>
      <c r="AC319" t="s">
        <v>1435</v>
      </c>
      <c r="AD319" t="s">
        <v>36</v>
      </c>
      <c r="AE319" t="s">
        <v>1286</v>
      </c>
      <c r="AF319" t="s">
        <v>63</v>
      </c>
      <c r="AG319" s="1" t="s">
        <v>1439</v>
      </c>
    </row>
    <row r="320" spans="1:33" ht="15" customHeight="1" x14ac:dyDescent="0.25">
      <c r="A320" t="s">
        <v>1440</v>
      </c>
      <c r="B320" t="s">
        <v>1189</v>
      </c>
      <c r="C320">
        <v>1</v>
      </c>
      <c r="D320" t="s">
        <v>56</v>
      </c>
      <c r="E320" t="s">
        <v>1434</v>
      </c>
      <c r="F320" t="s">
        <v>36</v>
      </c>
      <c r="G320" t="s">
        <v>58</v>
      </c>
      <c r="H320">
        <v>13</v>
      </c>
      <c r="I320">
        <v>3</v>
      </c>
      <c r="J320" t="s">
        <v>1441</v>
      </c>
      <c r="K320">
        <v>28</v>
      </c>
      <c r="L320" t="s">
        <v>1330</v>
      </c>
      <c r="M320">
        <v>5</v>
      </c>
      <c r="N320">
        <v>13</v>
      </c>
      <c r="O320">
        <v>16</v>
      </c>
      <c r="P320">
        <v>9</v>
      </c>
      <c r="Q320">
        <v>1</v>
      </c>
      <c r="R320">
        <v>7</v>
      </c>
      <c r="S320">
        <v>2</v>
      </c>
      <c r="T320">
        <v>1</v>
      </c>
      <c r="U320">
        <v>3</v>
      </c>
      <c r="V320">
        <v>-1</v>
      </c>
      <c r="W320">
        <v>-5</v>
      </c>
      <c r="X320">
        <v>-2</v>
      </c>
      <c r="Y320">
        <v>-4</v>
      </c>
      <c r="Z320" t="s">
        <v>36</v>
      </c>
      <c r="AA320" t="s">
        <v>326</v>
      </c>
      <c r="AB320" t="s">
        <v>36</v>
      </c>
      <c r="AC320" t="s">
        <v>1435</v>
      </c>
      <c r="AD320" t="s">
        <v>36</v>
      </c>
      <c r="AE320" t="s">
        <v>717</v>
      </c>
      <c r="AF320" t="s">
        <v>63</v>
      </c>
      <c r="AG320" s="1" t="s">
        <v>1442</v>
      </c>
    </row>
    <row r="321" spans="1:33" ht="15" customHeight="1" x14ac:dyDescent="0.25">
      <c r="A321" t="s">
        <v>1443</v>
      </c>
      <c r="B321" t="s">
        <v>1189</v>
      </c>
      <c r="C321">
        <v>0.25</v>
      </c>
      <c r="D321" t="s">
        <v>56</v>
      </c>
      <c r="E321" t="s">
        <v>1434</v>
      </c>
      <c r="F321" t="s">
        <v>36</v>
      </c>
      <c r="G321" t="s">
        <v>58</v>
      </c>
      <c r="H321">
        <v>10</v>
      </c>
      <c r="I321">
        <v>0</v>
      </c>
      <c r="J321" t="s">
        <v>1444</v>
      </c>
      <c r="K321">
        <v>14</v>
      </c>
      <c r="L321" t="s">
        <v>144</v>
      </c>
      <c r="M321">
        <v>30</v>
      </c>
      <c r="N321">
        <v>9</v>
      </c>
      <c r="O321">
        <v>11</v>
      </c>
      <c r="P321">
        <v>9</v>
      </c>
      <c r="Q321">
        <v>2</v>
      </c>
      <c r="R321">
        <v>10</v>
      </c>
      <c r="S321">
        <v>3</v>
      </c>
      <c r="T321">
        <v>-1</v>
      </c>
      <c r="U321">
        <v>2</v>
      </c>
      <c r="V321">
        <v>-1</v>
      </c>
      <c r="W321">
        <v>-4</v>
      </c>
      <c r="X321">
        <v>0</v>
      </c>
      <c r="Y321">
        <v>-4</v>
      </c>
      <c r="Z321" t="s">
        <v>36</v>
      </c>
      <c r="AA321" t="s">
        <v>326</v>
      </c>
      <c r="AB321" t="s">
        <v>36</v>
      </c>
      <c r="AC321" t="s">
        <v>1435</v>
      </c>
      <c r="AD321" t="s">
        <v>36</v>
      </c>
      <c r="AE321" t="s">
        <v>1431</v>
      </c>
      <c r="AF321" t="s">
        <v>63</v>
      </c>
      <c r="AG321" s="1" t="s">
        <v>1445</v>
      </c>
    </row>
    <row r="322" spans="1:33" ht="15" customHeight="1" x14ac:dyDescent="0.25">
      <c r="A322" t="s">
        <v>1446</v>
      </c>
      <c r="B322" t="s">
        <v>1189</v>
      </c>
      <c r="C322">
        <v>0.25</v>
      </c>
      <c r="D322" t="s">
        <v>56</v>
      </c>
      <c r="E322" t="s">
        <v>1434</v>
      </c>
      <c r="F322" t="s">
        <v>36</v>
      </c>
      <c r="G322" t="s">
        <v>58</v>
      </c>
      <c r="H322">
        <v>12</v>
      </c>
      <c r="I322">
        <v>2</v>
      </c>
      <c r="J322" t="s">
        <v>133</v>
      </c>
      <c r="K322">
        <v>11</v>
      </c>
      <c r="L322" t="s">
        <v>1349</v>
      </c>
      <c r="M322">
        <v>10</v>
      </c>
      <c r="N322">
        <v>6</v>
      </c>
      <c r="O322">
        <v>14</v>
      </c>
      <c r="P322">
        <v>12</v>
      </c>
      <c r="Q322">
        <v>5</v>
      </c>
      <c r="R322">
        <v>12</v>
      </c>
      <c r="S322">
        <v>6</v>
      </c>
      <c r="T322">
        <v>-2</v>
      </c>
      <c r="U322">
        <v>2</v>
      </c>
      <c r="V322">
        <v>1</v>
      </c>
      <c r="W322">
        <v>-3</v>
      </c>
      <c r="X322">
        <v>1</v>
      </c>
      <c r="Y322">
        <v>-2</v>
      </c>
      <c r="Z322" t="s">
        <v>617</v>
      </c>
      <c r="AA322" t="s">
        <v>326</v>
      </c>
      <c r="AB322" t="s">
        <v>36</v>
      </c>
      <c r="AC322" t="s">
        <v>1435</v>
      </c>
      <c r="AD322" t="s">
        <v>36</v>
      </c>
      <c r="AE322" t="s">
        <v>449</v>
      </c>
      <c r="AF322" t="s">
        <v>63</v>
      </c>
      <c r="AG322" s="1" t="s">
        <v>1447</v>
      </c>
    </row>
    <row r="323" spans="1:33" ht="15" customHeight="1" x14ac:dyDescent="0.25">
      <c r="A323" t="s">
        <v>1448</v>
      </c>
      <c r="B323" t="s">
        <v>1189</v>
      </c>
      <c r="C323">
        <v>2</v>
      </c>
      <c r="D323" t="s">
        <v>56</v>
      </c>
      <c r="E323" t="s">
        <v>1434</v>
      </c>
      <c r="F323" t="s">
        <v>36</v>
      </c>
      <c r="G323" t="s">
        <v>58</v>
      </c>
      <c r="H323">
        <v>14</v>
      </c>
      <c r="I323">
        <v>4</v>
      </c>
      <c r="J323" t="s">
        <v>519</v>
      </c>
      <c r="K323">
        <v>36</v>
      </c>
      <c r="L323" t="s">
        <v>318</v>
      </c>
      <c r="M323">
        <v>30</v>
      </c>
      <c r="N323">
        <v>8</v>
      </c>
      <c r="O323">
        <v>18</v>
      </c>
      <c r="P323">
        <v>11</v>
      </c>
      <c r="Q323">
        <v>1</v>
      </c>
      <c r="R323">
        <v>10</v>
      </c>
      <c r="S323">
        <v>3</v>
      </c>
      <c r="T323">
        <v>-1</v>
      </c>
      <c r="U323">
        <v>4</v>
      </c>
      <c r="V323">
        <v>0</v>
      </c>
      <c r="W323">
        <v>-5</v>
      </c>
      <c r="X323">
        <v>0</v>
      </c>
      <c r="Y323">
        <v>-4</v>
      </c>
      <c r="Z323" t="s">
        <v>36</v>
      </c>
      <c r="AA323" t="s">
        <v>326</v>
      </c>
      <c r="AB323" t="s">
        <v>36</v>
      </c>
      <c r="AC323" t="s">
        <v>1435</v>
      </c>
      <c r="AD323" t="s">
        <v>36</v>
      </c>
      <c r="AE323" t="s">
        <v>1449</v>
      </c>
      <c r="AF323" t="s">
        <v>63</v>
      </c>
      <c r="AG323" s="1" t="s">
        <v>1450</v>
      </c>
    </row>
    <row r="324" spans="1:33" ht="15" customHeight="1" x14ac:dyDescent="0.25">
      <c r="A324" t="s">
        <v>1451</v>
      </c>
      <c r="B324" t="s">
        <v>1189</v>
      </c>
      <c r="C324">
        <v>1</v>
      </c>
      <c r="D324" t="s">
        <v>34</v>
      </c>
      <c r="E324" t="s">
        <v>1190</v>
      </c>
      <c r="F324" t="s">
        <v>36</v>
      </c>
      <c r="G324" t="s">
        <v>58</v>
      </c>
      <c r="H324">
        <v>13</v>
      </c>
      <c r="I324">
        <v>3</v>
      </c>
      <c r="J324" t="s">
        <v>1452</v>
      </c>
      <c r="K324">
        <v>30</v>
      </c>
      <c r="L324" t="s">
        <v>210</v>
      </c>
      <c r="M324">
        <v>40</v>
      </c>
      <c r="N324">
        <v>17</v>
      </c>
      <c r="O324">
        <v>16</v>
      </c>
      <c r="P324">
        <v>14</v>
      </c>
      <c r="Q324">
        <v>3</v>
      </c>
      <c r="R324">
        <v>12</v>
      </c>
      <c r="S324">
        <v>8</v>
      </c>
      <c r="T324">
        <v>3</v>
      </c>
      <c r="U324">
        <v>3</v>
      </c>
      <c r="V324">
        <v>2</v>
      </c>
      <c r="W324">
        <v>-4</v>
      </c>
      <c r="X324">
        <v>1</v>
      </c>
      <c r="Y324">
        <v>-1</v>
      </c>
      <c r="Z324" t="s">
        <v>1355</v>
      </c>
      <c r="AA324" t="s">
        <v>36</v>
      </c>
      <c r="AB324" t="s">
        <v>36</v>
      </c>
      <c r="AC324" t="s">
        <v>36</v>
      </c>
      <c r="AD324" t="s">
        <v>36</v>
      </c>
      <c r="AE324" t="s">
        <v>475</v>
      </c>
      <c r="AF324" t="s">
        <v>63</v>
      </c>
      <c r="AG324" s="1" t="s">
        <v>1453</v>
      </c>
    </row>
    <row r="325" spans="1:33" ht="15" customHeight="1" x14ac:dyDescent="0.25">
      <c r="A325" t="s">
        <v>1454</v>
      </c>
      <c r="B325" t="s">
        <v>1189</v>
      </c>
      <c r="C325">
        <v>5</v>
      </c>
      <c r="D325" t="s">
        <v>103</v>
      </c>
      <c r="E325" t="s">
        <v>1190</v>
      </c>
      <c r="F325" t="s">
        <v>1191</v>
      </c>
      <c r="G325" t="s">
        <v>58</v>
      </c>
      <c r="H325">
        <v>14</v>
      </c>
      <c r="I325">
        <v>-1</v>
      </c>
      <c r="J325" t="s">
        <v>1455</v>
      </c>
      <c r="K325">
        <v>114</v>
      </c>
      <c r="L325" t="s">
        <v>109</v>
      </c>
      <c r="M325">
        <v>50</v>
      </c>
      <c r="N325">
        <v>22</v>
      </c>
      <c r="O325">
        <v>9</v>
      </c>
      <c r="P325">
        <v>17</v>
      </c>
      <c r="Q325">
        <v>2</v>
      </c>
      <c r="R325">
        <v>11</v>
      </c>
      <c r="S325">
        <v>5</v>
      </c>
      <c r="T325">
        <v>6</v>
      </c>
      <c r="U325">
        <v>-1</v>
      </c>
      <c r="V325">
        <v>3</v>
      </c>
      <c r="W325">
        <v>-4</v>
      </c>
      <c r="X325">
        <v>0</v>
      </c>
      <c r="Y325">
        <v>-3</v>
      </c>
      <c r="Z325" t="s">
        <v>36</v>
      </c>
      <c r="AA325" t="s">
        <v>36</v>
      </c>
      <c r="AB325" t="s">
        <v>36</v>
      </c>
      <c r="AC325" t="s">
        <v>36</v>
      </c>
      <c r="AD325" t="s">
        <v>36</v>
      </c>
      <c r="AE325" t="s">
        <v>99</v>
      </c>
      <c r="AF325" t="s">
        <v>63</v>
      </c>
      <c r="AG325" s="1" t="s">
        <v>1456</v>
      </c>
    </row>
    <row r="326" spans="1:33" ht="15" customHeight="1" x14ac:dyDescent="0.25">
      <c r="A326" t="s">
        <v>1457</v>
      </c>
      <c r="B326" t="s">
        <v>1189</v>
      </c>
      <c r="C326">
        <v>8</v>
      </c>
      <c r="D326" t="s">
        <v>103</v>
      </c>
      <c r="E326" t="s">
        <v>1190</v>
      </c>
      <c r="F326" t="s">
        <v>1191</v>
      </c>
      <c r="G326" t="s">
        <v>58</v>
      </c>
      <c r="H326">
        <v>13</v>
      </c>
      <c r="I326">
        <v>3</v>
      </c>
      <c r="J326" t="s">
        <v>1458</v>
      </c>
      <c r="K326">
        <v>136</v>
      </c>
      <c r="L326" t="s">
        <v>109</v>
      </c>
      <c r="M326">
        <v>50</v>
      </c>
      <c r="N326">
        <v>25</v>
      </c>
      <c r="O326">
        <v>10</v>
      </c>
      <c r="P326">
        <v>19</v>
      </c>
      <c r="Q326">
        <v>2</v>
      </c>
      <c r="R326">
        <v>12</v>
      </c>
      <c r="S326">
        <v>9</v>
      </c>
      <c r="T326">
        <v>10</v>
      </c>
      <c r="U326">
        <v>0</v>
      </c>
      <c r="V326">
        <v>4</v>
      </c>
      <c r="W326">
        <v>-4</v>
      </c>
      <c r="X326">
        <v>4</v>
      </c>
      <c r="Y326">
        <v>-1</v>
      </c>
      <c r="Z326" t="s">
        <v>319</v>
      </c>
      <c r="AA326" t="s">
        <v>36</v>
      </c>
      <c r="AB326" t="s">
        <v>36</v>
      </c>
      <c r="AC326" t="s">
        <v>36</v>
      </c>
      <c r="AD326" t="s">
        <v>36</v>
      </c>
      <c r="AE326" t="s">
        <v>638</v>
      </c>
      <c r="AF326" t="s">
        <v>63</v>
      </c>
      <c r="AG326" s="1" t="s">
        <v>1459</v>
      </c>
    </row>
    <row r="327" spans="1:33" ht="15" customHeight="1" x14ac:dyDescent="0.25">
      <c r="A327" t="s">
        <v>1460</v>
      </c>
      <c r="B327" t="s">
        <v>1189</v>
      </c>
      <c r="C327">
        <v>0.125</v>
      </c>
      <c r="D327" t="s">
        <v>669</v>
      </c>
      <c r="E327" t="s">
        <v>1190</v>
      </c>
      <c r="F327" t="s">
        <v>36</v>
      </c>
      <c r="G327" t="s">
        <v>58</v>
      </c>
      <c r="H327">
        <v>12</v>
      </c>
      <c r="I327">
        <v>2</v>
      </c>
      <c r="J327" t="s">
        <v>1034</v>
      </c>
      <c r="K327">
        <v>5</v>
      </c>
      <c r="L327" t="s">
        <v>318</v>
      </c>
      <c r="M327">
        <v>30</v>
      </c>
      <c r="N327">
        <v>2</v>
      </c>
      <c r="O327">
        <v>15</v>
      </c>
      <c r="P327">
        <v>11</v>
      </c>
      <c r="Q327">
        <v>1</v>
      </c>
      <c r="R327">
        <v>10</v>
      </c>
      <c r="S327">
        <v>3</v>
      </c>
      <c r="T327">
        <v>-4</v>
      </c>
      <c r="U327">
        <v>2</v>
      </c>
      <c r="V327">
        <v>0</v>
      </c>
      <c r="W327">
        <v>-5</v>
      </c>
      <c r="X327">
        <v>0</v>
      </c>
      <c r="Y327">
        <v>-4</v>
      </c>
      <c r="Z327" t="s">
        <v>36</v>
      </c>
      <c r="AA327" t="s">
        <v>36</v>
      </c>
      <c r="AB327" t="s">
        <v>36</v>
      </c>
      <c r="AC327" t="s">
        <v>36</v>
      </c>
      <c r="AD327" t="s">
        <v>36</v>
      </c>
      <c r="AE327" t="s">
        <v>1449</v>
      </c>
      <c r="AF327" t="s">
        <v>63</v>
      </c>
      <c r="AG327" s="1" t="s">
        <v>1461</v>
      </c>
    </row>
    <row r="328" spans="1:33" ht="15" customHeight="1" x14ac:dyDescent="0.25">
      <c r="A328" t="s">
        <v>1462</v>
      </c>
      <c r="B328" t="s">
        <v>1189</v>
      </c>
      <c r="C328">
        <v>0</v>
      </c>
      <c r="D328" t="s">
        <v>56</v>
      </c>
      <c r="E328" t="s">
        <v>1190</v>
      </c>
      <c r="F328" t="s">
        <v>36</v>
      </c>
      <c r="G328" t="s">
        <v>58</v>
      </c>
      <c r="H328">
        <v>10</v>
      </c>
      <c r="I328">
        <v>0</v>
      </c>
      <c r="J328" t="s">
        <v>1369</v>
      </c>
      <c r="K328">
        <v>5</v>
      </c>
      <c r="L328" t="s">
        <v>1349</v>
      </c>
      <c r="M328">
        <v>10</v>
      </c>
      <c r="N328">
        <v>7</v>
      </c>
      <c r="O328">
        <v>10</v>
      </c>
      <c r="P328">
        <v>13</v>
      </c>
      <c r="Q328">
        <v>2</v>
      </c>
      <c r="R328">
        <v>12</v>
      </c>
      <c r="S328">
        <v>4</v>
      </c>
      <c r="T328">
        <v>-2</v>
      </c>
      <c r="U328">
        <v>0</v>
      </c>
      <c r="V328">
        <v>1</v>
      </c>
      <c r="W328">
        <v>-4</v>
      </c>
      <c r="X328">
        <v>1</v>
      </c>
      <c r="Y328">
        <v>-3</v>
      </c>
      <c r="Z328" t="s">
        <v>1211</v>
      </c>
      <c r="AA328" t="s">
        <v>36</v>
      </c>
      <c r="AB328" t="s">
        <v>36</v>
      </c>
      <c r="AC328" t="s">
        <v>36</v>
      </c>
      <c r="AD328" t="s">
        <v>36</v>
      </c>
      <c r="AE328" t="s">
        <v>301</v>
      </c>
      <c r="AF328" t="s">
        <v>63</v>
      </c>
      <c r="AG328" s="1" t="s">
        <v>1463</v>
      </c>
    </row>
    <row r="329" spans="1:33" ht="15" customHeight="1" x14ac:dyDescent="0.25">
      <c r="A329" t="s">
        <v>1464</v>
      </c>
      <c r="B329" t="s">
        <v>1189</v>
      </c>
      <c r="C329">
        <v>0.5</v>
      </c>
      <c r="D329" t="s">
        <v>34</v>
      </c>
      <c r="E329" t="s">
        <v>1190</v>
      </c>
      <c r="F329" t="s">
        <v>36</v>
      </c>
      <c r="G329" t="s">
        <v>58</v>
      </c>
      <c r="H329">
        <v>11</v>
      </c>
      <c r="I329">
        <v>1</v>
      </c>
      <c r="J329" t="s">
        <v>108</v>
      </c>
      <c r="K329">
        <v>19</v>
      </c>
      <c r="L329" t="s">
        <v>990</v>
      </c>
      <c r="M329">
        <v>60</v>
      </c>
      <c r="N329">
        <v>18</v>
      </c>
      <c r="O329">
        <v>12</v>
      </c>
      <c r="P329">
        <v>13</v>
      </c>
      <c r="Q329">
        <v>2</v>
      </c>
      <c r="R329">
        <v>12</v>
      </c>
      <c r="S329">
        <v>7</v>
      </c>
      <c r="T329">
        <v>4</v>
      </c>
      <c r="U329">
        <v>1</v>
      </c>
      <c r="V329">
        <v>1</v>
      </c>
      <c r="W329">
        <v>-4</v>
      </c>
      <c r="X329">
        <v>3</v>
      </c>
      <c r="Y329">
        <v>-2</v>
      </c>
      <c r="Z329" t="s">
        <v>36</v>
      </c>
      <c r="AA329" t="s">
        <v>36</v>
      </c>
      <c r="AB329" t="s">
        <v>36</v>
      </c>
      <c r="AC329" t="s">
        <v>36</v>
      </c>
      <c r="AD329" t="s">
        <v>36</v>
      </c>
      <c r="AE329" t="s">
        <v>116</v>
      </c>
      <c r="AF329" t="s">
        <v>63</v>
      </c>
      <c r="AG329" s="1" t="s">
        <v>1465</v>
      </c>
    </row>
    <row r="330" spans="1:33" ht="15" customHeight="1" x14ac:dyDescent="0.25">
      <c r="A330" t="s">
        <v>1466</v>
      </c>
      <c r="B330" t="s">
        <v>1189</v>
      </c>
      <c r="C330">
        <v>0</v>
      </c>
      <c r="D330" t="s">
        <v>669</v>
      </c>
      <c r="E330" t="s">
        <v>1190</v>
      </c>
      <c r="F330" t="s">
        <v>36</v>
      </c>
      <c r="G330" t="s">
        <v>58</v>
      </c>
      <c r="H330">
        <v>13</v>
      </c>
      <c r="I330">
        <v>3</v>
      </c>
      <c r="J330" t="s">
        <v>1215</v>
      </c>
      <c r="K330">
        <v>1</v>
      </c>
      <c r="L330" t="s">
        <v>144</v>
      </c>
      <c r="M330">
        <v>30</v>
      </c>
      <c r="N330">
        <v>3</v>
      </c>
      <c r="O330">
        <v>16</v>
      </c>
      <c r="P330">
        <v>8</v>
      </c>
      <c r="Q330">
        <v>2</v>
      </c>
      <c r="R330">
        <v>12</v>
      </c>
      <c r="S330">
        <v>3</v>
      </c>
      <c r="T330">
        <v>-4</v>
      </c>
      <c r="U330">
        <v>3</v>
      </c>
      <c r="V330">
        <v>-1</v>
      </c>
      <c r="W330">
        <v>-4</v>
      </c>
      <c r="X330">
        <v>1</v>
      </c>
      <c r="Y330">
        <v>-4</v>
      </c>
      <c r="Z330" t="s">
        <v>1352</v>
      </c>
      <c r="AA330" t="s">
        <v>36</v>
      </c>
      <c r="AB330" t="s">
        <v>36</v>
      </c>
      <c r="AC330" t="s">
        <v>36</v>
      </c>
      <c r="AD330" t="s">
        <v>36</v>
      </c>
      <c r="AE330" t="s">
        <v>475</v>
      </c>
      <c r="AF330" t="s">
        <v>63</v>
      </c>
      <c r="AG330" s="1" t="s">
        <v>1467</v>
      </c>
    </row>
    <row r="331" spans="1:33" ht="15" customHeight="1" x14ac:dyDescent="0.25">
      <c r="A331" t="s">
        <v>1468</v>
      </c>
      <c r="B331" t="s">
        <v>1189</v>
      </c>
      <c r="C331">
        <v>0.25</v>
      </c>
      <c r="D331" t="s">
        <v>56</v>
      </c>
      <c r="E331" t="s">
        <v>1190</v>
      </c>
      <c r="F331" t="s">
        <v>36</v>
      </c>
      <c r="G331" t="s">
        <v>58</v>
      </c>
      <c r="H331">
        <v>12</v>
      </c>
      <c r="I331">
        <v>2</v>
      </c>
      <c r="J331" t="s">
        <v>133</v>
      </c>
      <c r="K331">
        <v>11</v>
      </c>
      <c r="L331" t="s">
        <v>210</v>
      </c>
      <c r="M331">
        <v>40</v>
      </c>
      <c r="N331">
        <v>14</v>
      </c>
      <c r="O331">
        <v>15</v>
      </c>
      <c r="P331">
        <v>12</v>
      </c>
      <c r="Q331">
        <v>3</v>
      </c>
      <c r="R331">
        <v>12</v>
      </c>
      <c r="S331">
        <v>6</v>
      </c>
      <c r="T331">
        <v>2</v>
      </c>
      <c r="U331">
        <v>2</v>
      </c>
      <c r="V331">
        <v>1</v>
      </c>
      <c r="W331">
        <v>-4</v>
      </c>
      <c r="X331">
        <v>1</v>
      </c>
      <c r="Y331">
        <v>-2</v>
      </c>
      <c r="Z331" t="s">
        <v>406</v>
      </c>
      <c r="AA331" t="s">
        <v>36</v>
      </c>
      <c r="AB331" t="s">
        <v>36</v>
      </c>
      <c r="AC331" t="s">
        <v>36</v>
      </c>
      <c r="AD331" t="s">
        <v>36</v>
      </c>
      <c r="AE331" t="s">
        <v>212</v>
      </c>
      <c r="AF331" t="s">
        <v>63</v>
      </c>
      <c r="AG331" s="1" t="s">
        <v>1469</v>
      </c>
    </row>
  </sheetData>
  <sheetProtection sheet="1" objects="1" scenarios="1"/>
  <autoFilter ref="A1:AG331" xr:uid="{055D120E-02E6-4F8B-AECB-CC3269BE9844}"/>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D120E-02E6-4F8B-AECB-CC3269BE9844}">
  <dimension ref="A1:AH331"/>
  <sheetViews>
    <sheetView topLeftCell="AC1" workbookViewId="0">
      <pane ySplit="1" topLeftCell="A2" activePane="bottomLeft" state="frozen"/>
      <selection pane="bottomLeft" activeCell="AJ24" sqref="AJ24"/>
    </sheetView>
  </sheetViews>
  <sheetFormatPr defaultRowHeight="15" customHeight="1" x14ac:dyDescent="0.25"/>
  <cols>
    <col min="1" max="1" width="26.28515625" bestFit="1" customWidth="1"/>
    <col min="2" max="2" width="20.85546875" bestFit="1" customWidth="1"/>
    <col min="3" max="3" width="6" bestFit="1" customWidth="1"/>
    <col min="4" max="4" width="16" bestFit="1" customWidth="1"/>
    <col min="5" max="5" width="20.7109375" bestFit="1" customWidth="1"/>
    <col min="6" max="6" width="33.28515625" bestFit="1" customWidth="1"/>
    <col min="7" max="7" width="21" bestFit="1" customWidth="1"/>
    <col min="8" max="8" width="6.140625" bestFit="1" customWidth="1"/>
    <col min="9" max="9" width="18.28515625" bestFit="1" customWidth="1"/>
    <col min="10" max="10" width="16" bestFit="1" customWidth="1"/>
    <col min="11" max="11" width="23.5703125" bestFit="1" customWidth="1"/>
    <col min="12" max="12" width="47.7109375" bestFit="1" customWidth="1"/>
    <col min="13" max="13" width="41.85546875" bestFit="1" customWidth="1"/>
    <col min="14" max="14" width="6.7109375" bestFit="1" customWidth="1"/>
    <col min="15" max="15" width="8.28515625" bestFit="1" customWidth="1"/>
    <col min="16" max="16" width="8.7109375" bestFit="1" customWidth="1"/>
    <col min="17" max="17" width="6.5703125" bestFit="1" customWidth="1"/>
    <col min="18" max="18" width="8" bestFit="1" customWidth="1"/>
    <col min="19" max="19" width="8.5703125" bestFit="1" customWidth="1"/>
    <col min="20" max="20" width="17.42578125" bestFit="1" customWidth="1"/>
    <col min="21" max="21" width="19.140625" bestFit="1" customWidth="1"/>
    <col min="22" max="22" width="19.5703125" bestFit="1" customWidth="1"/>
    <col min="23" max="23" width="17.28515625" bestFit="1" customWidth="1"/>
    <col min="24" max="24" width="18.85546875" bestFit="1" customWidth="1"/>
    <col min="25" max="25" width="19.42578125" bestFit="1" customWidth="1"/>
    <col min="26" max="26" width="77.5703125" bestFit="1" customWidth="1"/>
    <col min="27" max="27" width="61.85546875" bestFit="1" customWidth="1"/>
    <col min="28" max="28" width="76.85546875" bestFit="1" customWidth="1"/>
    <col min="29" max="29" width="123.5703125" bestFit="1" customWidth="1"/>
    <col min="30" max="30" width="47.42578125" bestFit="1" customWidth="1"/>
    <col min="31" max="31" width="68.5703125" bestFit="1" customWidth="1"/>
    <col min="32" max="32" width="83.85546875" bestFit="1" customWidth="1"/>
    <col min="33" max="33" width="17.140625" bestFit="1" customWidth="1"/>
    <col min="34" max="34" width="9.140625" style="6"/>
  </cols>
  <sheetData>
    <row r="1" spans="1:34" s="4" customFormat="1" ht="28.5" x14ac:dyDescent="0.45">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c r="AF1" s="4" t="s">
        <v>31</v>
      </c>
      <c r="AG1" s="4" t="s">
        <v>32</v>
      </c>
      <c r="AH1" s="5"/>
    </row>
    <row r="2" spans="1:34" ht="15" customHeight="1" x14ac:dyDescent="0.25">
      <c r="A2" t="s">
        <v>33</v>
      </c>
      <c r="B2" t="s">
        <v>33</v>
      </c>
      <c r="C2">
        <v>10</v>
      </c>
      <c r="D2" t="s">
        <v>34</v>
      </c>
      <c r="E2" t="s">
        <v>35</v>
      </c>
      <c r="F2" t="s">
        <v>36</v>
      </c>
      <c r="G2" t="s">
        <v>37</v>
      </c>
      <c r="H2">
        <v>17</v>
      </c>
      <c r="I2">
        <v>7</v>
      </c>
      <c r="J2" t="s">
        <v>38</v>
      </c>
      <c r="K2">
        <v>150</v>
      </c>
      <c r="L2" t="s">
        <v>39</v>
      </c>
      <c r="M2">
        <v>10</v>
      </c>
      <c r="N2">
        <v>21</v>
      </c>
      <c r="O2">
        <v>9</v>
      </c>
      <c r="P2">
        <v>15</v>
      </c>
      <c r="Q2">
        <v>18</v>
      </c>
      <c r="R2">
        <v>15</v>
      </c>
      <c r="S2">
        <v>18</v>
      </c>
      <c r="T2">
        <v>5</v>
      </c>
      <c r="U2">
        <v>3</v>
      </c>
      <c r="V2">
        <v>6</v>
      </c>
      <c r="W2">
        <v>8</v>
      </c>
      <c r="X2">
        <v>6</v>
      </c>
      <c r="Y2">
        <v>4</v>
      </c>
      <c r="Z2" t="s">
        <v>40</v>
      </c>
      <c r="AA2" t="s">
        <v>36</v>
      </c>
      <c r="AB2" t="s">
        <v>36</v>
      </c>
      <c r="AC2" t="s">
        <v>36</v>
      </c>
      <c r="AD2" t="s">
        <v>36</v>
      </c>
      <c r="AE2" t="s">
        <v>41</v>
      </c>
      <c r="AF2" t="s">
        <v>42</v>
      </c>
      <c r="AG2" s="1" t="s">
        <v>1476</v>
      </c>
    </row>
    <row r="3" spans="1:34" ht="15" customHeight="1" x14ac:dyDescent="0.25">
      <c r="A3" t="s">
        <v>44</v>
      </c>
      <c r="B3" t="s">
        <v>44</v>
      </c>
      <c r="C3">
        <v>5</v>
      </c>
      <c r="D3" t="s">
        <v>34</v>
      </c>
      <c r="E3" t="s">
        <v>45</v>
      </c>
      <c r="F3" t="s">
        <v>36</v>
      </c>
      <c r="G3" t="s">
        <v>46</v>
      </c>
      <c r="H3">
        <v>15</v>
      </c>
      <c r="I3">
        <v>5</v>
      </c>
      <c r="J3" t="s">
        <v>47</v>
      </c>
      <c r="K3">
        <v>90</v>
      </c>
      <c r="L3" t="s">
        <v>48</v>
      </c>
      <c r="M3">
        <v>10</v>
      </c>
      <c r="N3">
        <v>14</v>
      </c>
      <c r="O3">
        <v>20</v>
      </c>
      <c r="P3">
        <v>14</v>
      </c>
      <c r="Q3">
        <v>6</v>
      </c>
      <c r="R3">
        <v>10</v>
      </c>
      <c r="S3">
        <v>6</v>
      </c>
      <c r="T3">
        <v>2</v>
      </c>
      <c r="U3">
        <v>5</v>
      </c>
      <c r="V3">
        <v>2</v>
      </c>
      <c r="W3">
        <v>-2</v>
      </c>
      <c r="X3">
        <v>0</v>
      </c>
      <c r="Y3">
        <v>-2</v>
      </c>
      <c r="Z3" t="s">
        <v>36</v>
      </c>
      <c r="AA3" t="s">
        <v>49</v>
      </c>
      <c r="AB3" t="s">
        <v>36</v>
      </c>
      <c r="AC3" t="s">
        <v>50</v>
      </c>
      <c r="AD3" t="s">
        <v>36</v>
      </c>
      <c r="AE3" t="s">
        <v>51</v>
      </c>
      <c r="AF3" t="s">
        <v>52</v>
      </c>
      <c r="AG3" s="1" t="s">
        <v>1477</v>
      </c>
    </row>
    <row r="4" spans="1:34" ht="15" customHeight="1" x14ac:dyDescent="0.25">
      <c r="A4" t="s">
        <v>54</v>
      </c>
      <c r="B4" t="s">
        <v>55</v>
      </c>
      <c r="C4">
        <v>1</v>
      </c>
      <c r="D4" t="s">
        <v>56</v>
      </c>
      <c r="E4" t="s">
        <v>57</v>
      </c>
      <c r="F4" t="s">
        <v>36</v>
      </c>
      <c r="G4" t="s">
        <v>58</v>
      </c>
      <c r="H4">
        <v>18</v>
      </c>
      <c r="I4">
        <v>2</v>
      </c>
      <c r="J4" t="s">
        <v>59</v>
      </c>
      <c r="K4">
        <v>33</v>
      </c>
      <c r="L4" t="s">
        <v>60</v>
      </c>
      <c r="M4">
        <v>25</v>
      </c>
      <c r="N4">
        <v>14</v>
      </c>
      <c r="O4">
        <v>11</v>
      </c>
      <c r="P4">
        <v>13</v>
      </c>
      <c r="Q4">
        <v>1</v>
      </c>
      <c r="R4">
        <v>3</v>
      </c>
      <c r="S4">
        <v>1</v>
      </c>
      <c r="T4">
        <v>2</v>
      </c>
      <c r="U4">
        <v>0</v>
      </c>
      <c r="V4">
        <v>1</v>
      </c>
      <c r="W4">
        <v>-5</v>
      </c>
      <c r="X4">
        <v>-4</v>
      </c>
      <c r="Y4">
        <v>-5</v>
      </c>
      <c r="Z4" t="s">
        <v>36</v>
      </c>
      <c r="AA4" t="s">
        <v>36</v>
      </c>
      <c r="AB4" t="s">
        <v>36</v>
      </c>
      <c r="AC4" t="s">
        <v>61</v>
      </c>
      <c r="AD4" t="s">
        <v>36</v>
      </c>
      <c r="AE4" t="s">
        <v>62</v>
      </c>
      <c r="AF4" t="s">
        <v>63</v>
      </c>
      <c r="AG4" s="1" t="s">
        <v>64</v>
      </c>
    </row>
    <row r="5" spans="1:34" ht="15" customHeight="1" x14ac:dyDescent="0.25">
      <c r="A5" t="s">
        <v>65</v>
      </c>
      <c r="B5" t="s">
        <v>55</v>
      </c>
      <c r="C5">
        <v>0.25</v>
      </c>
      <c r="D5" t="s">
        <v>66</v>
      </c>
      <c r="E5" t="s">
        <v>57</v>
      </c>
      <c r="F5" t="s">
        <v>36</v>
      </c>
      <c r="G5" t="s">
        <v>58</v>
      </c>
      <c r="H5">
        <v>17</v>
      </c>
      <c r="I5">
        <v>4</v>
      </c>
      <c r="J5" t="s">
        <v>67</v>
      </c>
      <c r="K5">
        <v>14</v>
      </c>
      <c r="L5" t="s">
        <v>68</v>
      </c>
      <c r="M5">
        <v>5</v>
      </c>
      <c r="N5">
        <v>12</v>
      </c>
      <c r="O5">
        <v>15</v>
      </c>
      <c r="P5">
        <v>11</v>
      </c>
      <c r="Q5">
        <v>1</v>
      </c>
      <c r="R5">
        <v>5</v>
      </c>
      <c r="S5">
        <v>1</v>
      </c>
      <c r="T5">
        <v>1</v>
      </c>
      <c r="U5">
        <v>4</v>
      </c>
      <c r="V5">
        <v>0</v>
      </c>
      <c r="W5">
        <v>-5</v>
      </c>
      <c r="X5">
        <v>-3</v>
      </c>
      <c r="Y5">
        <v>-5</v>
      </c>
      <c r="Z5" t="s">
        <v>36</v>
      </c>
      <c r="AA5" t="s">
        <v>36</v>
      </c>
      <c r="AB5" t="s">
        <v>36</v>
      </c>
      <c r="AC5" t="s">
        <v>61</v>
      </c>
      <c r="AD5" t="s">
        <v>36</v>
      </c>
      <c r="AE5" t="s">
        <v>69</v>
      </c>
      <c r="AF5" t="s">
        <v>63</v>
      </c>
      <c r="AG5" s="1" t="s">
        <v>70</v>
      </c>
    </row>
    <row r="6" spans="1:34" ht="15" customHeight="1" x14ac:dyDescent="0.25">
      <c r="A6" t="s">
        <v>71</v>
      </c>
      <c r="B6" t="s">
        <v>55</v>
      </c>
      <c r="C6">
        <v>2</v>
      </c>
      <c r="D6" t="s">
        <v>34</v>
      </c>
      <c r="E6" t="s">
        <v>57</v>
      </c>
      <c r="F6" t="s">
        <v>36</v>
      </c>
      <c r="G6" t="s">
        <v>58</v>
      </c>
      <c r="H6">
        <v>12</v>
      </c>
      <c r="I6">
        <v>4</v>
      </c>
      <c r="J6" t="s">
        <v>72</v>
      </c>
      <c r="K6">
        <v>27</v>
      </c>
      <c r="L6" t="s">
        <v>73</v>
      </c>
      <c r="M6">
        <v>10</v>
      </c>
      <c r="N6">
        <v>17</v>
      </c>
      <c r="O6">
        <v>14</v>
      </c>
      <c r="P6">
        <v>10</v>
      </c>
      <c r="Q6">
        <v>1</v>
      </c>
      <c r="R6">
        <v>3</v>
      </c>
      <c r="S6">
        <v>1</v>
      </c>
      <c r="T6">
        <v>3</v>
      </c>
      <c r="U6">
        <v>2</v>
      </c>
      <c r="V6">
        <v>0</v>
      </c>
      <c r="W6">
        <v>-5</v>
      </c>
      <c r="X6">
        <v>-4</v>
      </c>
      <c r="Y6">
        <v>-5</v>
      </c>
      <c r="Z6" t="s">
        <v>36</v>
      </c>
      <c r="AA6" t="s">
        <v>36</v>
      </c>
      <c r="AB6" t="s">
        <v>36</v>
      </c>
      <c r="AC6" t="s">
        <v>61</v>
      </c>
      <c r="AD6" t="s">
        <v>36</v>
      </c>
      <c r="AE6" t="s">
        <v>62</v>
      </c>
      <c r="AF6" t="s">
        <v>63</v>
      </c>
      <c r="AG6" s="1" t="s">
        <v>1478</v>
      </c>
    </row>
    <row r="7" spans="1:34" ht="15" customHeight="1" x14ac:dyDescent="0.25">
      <c r="A7" t="s">
        <v>75</v>
      </c>
      <c r="B7" t="s">
        <v>75</v>
      </c>
      <c r="C7">
        <v>2</v>
      </c>
      <c r="D7" t="s">
        <v>34</v>
      </c>
      <c r="E7" t="s">
        <v>76</v>
      </c>
      <c r="F7" t="s">
        <v>36</v>
      </c>
      <c r="G7" t="s">
        <v>58</v>
      </c>
      <c r="H7">
        <v>14</v>
      </c>
      <c r="I7">
        <v>0</v>
      </c>
      <c r="J7" t="s">
        <v>77</v>
      </c>
      <c r="K7">
        <v>45</v>
      </c>
      <c r="L7" t="s">
        <v>78</v>
      </c>
      <c r="M7">
        <v>30</v>
      </c>
      <c r="N7">
        <v>17</v>
      </c>
      <c r="O7">
        <v>11</v>
      </c>
      <c r="P7">
        <v>14</v>
      </c>
      <c r="Q7">
        <v>1</v>
      </c>
      <c r="R7">
        <v>13</v>
      </c>
      <c r="S7">
        <v>6</v>
      </c>
      <c r="T7">
        <v>3</v>
      </c>
      <c r="U7">
        <v>0</v>
      </c>
      <c r="V7">
        <v>2</v>
      </c>
      <c r="W7">
        <v>-5</v>
      </c>
      <c r="X7">
        <v>1</v>
      </c>
      <c r="Y7">
        <v>-2</v>
      </c>
      <c r="Z7" t="s">
        <v>36</v>
      </c>
      <c r="AA7" t="s">
        <v>36</v>
      </c>
      <c r="AB7" t="s">
        <v>36</v>
      </c>
      <c r="AC7" t="s">
        <v>36</v>
      </c>
      <c r="AD7" t="s">
        <v>36</v>
      </c>
      <c r="AE7" t="s">
        <v>79</v>
      </c>
      <c r="AF7" t="s">
        <v>63</v>
      </c>
      <c r="AG7" s="1" t="s">
        <v>80</v>
      </c>
    </row>
    <row r="8" spans="1:34" ht="15" customHeight="1" x14ac:dyDescent="0.25">
      <c r="A8" t="s">
        <v>81</v>
      </c>
      <c r="B8" t="s">
        <v>81</v>
      </c>
      <c r="C8">
        <v>8</v>
      </c>
      <c r="D8" t="s">
        <v>82</v>
      </c>
      <c r="E8" t="s">
        <v>83</v>
      </c>
      <c r="F8" t="s">
        <v>36</v>
      </c>
      <c r="G8" t="s">
        <v>46</v>
      </c>
      <c r="H8">
        <v>16</v>
      </c>
      <c r="I8">
        <v>10</v>
      </c>
      <c r="J8" t="s">
        <v>84</v>
      </c>
      <c r="K8">
        <v>97</v>
      </c>
      <c r="L8" t="s">
        <v>85</v>
      </c>
      <c r="M8">
        <v>30</v>
      </c>
      <c r="N8">
        <v>11</v>
      </c>
      <c r="O8">
        <v>18</v>
      </c>
      <c r="P8">
        <v>14</v>
      </c>
      <c r="Q8">
        <v>16</v>
      </c>
      <c r="R8">
        <v>11</v>
      </c>
      <c r="S8">
        <v>10</v>
      </c>
      <c r="T8">
        <v>0</v>
      </c>
      <c r="U8">
        <v>7</v>
      </c>
      <c r="V8">
        <v>2</v>
      </c>
      <c r="W8">
        <v>6</v>
      </c>
      <c r="X8">
        <v>0</v>
      </c>
      <c r="Y8">
        <v>0</v>
      </c>
      <c r="Z8" t="s">
        <v>86</v>
      </c>
      <c r="AA8" t="s">
        <v>87</v>
      </c>
      <c r="AB8" t="s">
        <v>36</v>
      </c>
      <c r="AC8" t="s">
        <v>36</v>
      </c>
      <c r="AD8" t="s">
        <v>88</v>
      </c>
      <c r="AE8" t="s">
        <v>89</v>
      </c>
      <c r="AF8" t="s">
        <v>1479</v>
      </c>
      <c r="AG8" s="1" t="s">
        <v>1480</v>
      </c>
    </row>
    <row r="9" spans="1:34" ht="15" customHeight="1" x14ac:dyDescent="0.25">
      <c r="A9" t="s">
        <v>92</v>
      </c>
      <c r="B9" t="s">
        <v>93</v>
      </c>
      <c r="C9">
        <v>0</v>
      </c>
      <c r="D9" t="s">
        <v>66</v>
      </c>
      <c r="E9" t="s">
        <v>94</v>
      </c>
      <c r="F9" t="s">
        <v>36</v>
      </c>
      <c r="G9" t="s">
        <v>46</v>
      </c>
      <c r="H9">
        <v>9</v>
      </c>
      <c r="I9">
        <v>-1</v>
      </c>
      <c r="J9" t="s">
        <v>95</v>
      </c>
      <c r="K9">
        <v>10</v>
      </c>
      <c r="L9" t="s">
        <v>96</v>
      </c>
      <c r="M9">
        <v>20</v>
      </c>
      <c r="N9">
        <v>3</v>
      </c>
      <c r="O9">
        <v>8</v>
      </c>
      <c r="P9">
        <v>11</v>
      </c>
      <c r="Q9">
        <v>10</v>
      </c>
      <c r="R9">
        <v>10</v>
      </c>
      <c r="S9">
        <v>6</v>
      </c>
      <c r="T9">
        <v>-4</v>
      </c>
      <c r="U9">
        <v>-1</v>
      </c>
      <c r="V9">
        <v>0</v>
      </c>
      <c r="W9">
        <v>0</v>
      </c>
      <c r="X9">
        <v>0</v>
      </c>
      <c r="Y9">
        <v>-2</v>
      </c>
      <c r="Z9" t="s">
        <v>36</v>
      </c>
      <c r="AA9" t="s">
        <v>97</v>
      </c>
      <c r="AB9" t="s">
        <v>98</v>
      </c>
      <c r="AC9" t="s">
        <v>36</v>
      </c>
      <c r="AD9" t="s">
        <v>36</v>
      </c>
      <c r="AE9" t="s">
        <v>99</v>
      </c>
      <c r="AF9" t="s">
        <v>100</v>
      </c>
      <c r="AG9" s="1" t="s">
        <v>101</v>
      </c>
    </row>
    <row r="10" spans="1:34" ht="15" customHeight="1" x14ac:dyDescent="0.25">
      <c r="A10" t="s">
        <v>102</v>
      </c>
      <c r="B10" t="s">
        <v>93</v>
      </c>
      <c r="C10">
        <v>2</v>
      </c>
      <c r="D10" t="s">
        <v>103</v>
      </c>
      <c r="E10" t="s">
        <v>94</v>
      </c>
      <c r="F10" t="s">
        <v>36</v>
      </c>
      <c r="G10" t="s">
        <v>46</v>
      </c>
      <c r="H10">
        <v>13</v>
      </c>
      <c r="I10">
        <v>-2</v>
      </c>
      <c r="J10" t="s">
        <v>104</v>
      </c>
      <c r="K10">
        <v>59</v>
      </c>
      <c r="L10" t="s">
        <v>96</v>
      </c>
      <c r="M10">
        <v>20</v>
      </c>
      <c r="N10">
        <v>19</v>
      </c>
      <c r="O10">
        <v>6</v>
      </c>
      <c r="P10">
        <v>15</v>
      </c>
      <c r="Q10">
        <v>10</v>
      </c>
      <c r="R10">
        <v>10</v>
      </c>
      <c r="S10">
        <v>7</v>
      </c>
      <c r="T10">
        <v>4</v>
      </c>
      <c r="U10">
        <v>-2</v>
      </c>
      <c r="V10">
        <v>2</v>
      </c>
      <c r="W10">
        <v>0</v>
      </c>
      <c r="X10">
        <v>0</v>
      </c>
      <c r="Y10">
        <v>-2</v>
      </c>
      <c r="Z10" t="s">
        <v>36</v>
      </c>
      <c r="AA10" t="s">
        <v>105</v>
      </c>
      <c r="AB10" t="s">
        <v>98</v>
      </c>
      <c r="AC10" t="s">
        <v>36</v>
      </c>
      <c r="AD10" t="s">
        <v>36</v>
      </c>
      <c r="AE10" t="s">
        <v>99</v>
      </c>
      <c r="AF10" t="s">
        <v>100</v>
      </c>
      <c r="AG10" s="1" t="s">
        <v>106</v>
      </c>
    </row>
    <row r="11" spans="1:34" ht="15" customHeight="1" x14ac:dyDescent="0.25">
      <c r="A11" t="s">
        <v>107</v>
      </c>
      <c r="B11" t="s">
        <v>107</v>
      </c>
      <c r="C11">
        <v>0.25</v>
      </c>
      <c r="D11" t="s">
        <v>34</v>
      </c>
      <c r="E11" t="s">
        <v>76</v>
      </c>
      <c r="F11" t="s">
        <v>36</v>
      </c>
      <c r="G11" t="s">
        <v>58</v>
      </c>
      <c r="H11">
        <v>11</v>
      </c>
      <c r="I11">
        <v>1</v>
      </c>
      <c r="J11" t="s">
        <v>108</v>
      </c>
      <c r="K11">
        <v>19</v>
      </c>
      <c r="L11" t="s">
        <v>109</v>
      </c>
      <c r="M11">
        <v>50</v>
      </c>
      <c r="N11">
        <v>14</v>
      </c>
      <c r="O11">
        <v>12</v>
      </c>
      <c r="P11">
        <v>12</v>
      </c>
      <c r="Q11">
        <v>2</v>
      </c>
      <c r="R11">
        <v>10</v>
      </c>
      <c r="S11">
        <v>5</v>
      </c>
      <c r="T11">
        <v>2</v>
      </c>
      <c r="U11">
        <v>1</v>
      </c>
      <c r="V11">
        <v>1</v>
      </c>
      <c r="W11">
        <v>-4</v>
      </c>
      <c r="X11">
        <v>0</v>
      </c>
      <c r="Y11">
        <v>-3</v>
      </c>
      <c r="Z11" t="s">
        <v>36</v>
      </c>
      <c r="AA11" t="s">
        <v>36</v>
      </c>
      <c r="AB11" t="s">
        <v>36</v>
      </c>
      <c r="AC11" t="s">
        <v>36</v>
      </c>
      <c r="AD11" t="s">
        <v>36</v>
      </c>
      <c r="AE11" t="s">
        <v>99</v>
      </c>
      <c r="AF11" t="s">
        <v>63</v>
      </c>
      <c r="AG11" s="1" t="s">
        <v>110</v>
      </c>
    </row>
    <row r="12" spans="1:34" ht="15" customHeight="1" x14ac:dyDescent="0.25">
      <c r="A12" t="s">
        <v>111</v>
      </c>
      <c r="B12" t="s">
        <v>112</v>
      </c>
      <c r="C12">
        <v>2</v>
      </c>
      <c r="D12" t="s">
        <v>56</v>
      </c>
      <c r="E12" t="s">
        <v>45</v>
      </c>
      <c r="F12" t="s">
        <v>36</v>
      </c>
      <c r="G12" t="s">
        <v>113</v>
      </c>
      <c r="H12">
        <v>17</v>
      </c>
      <c r="I12">
        <v>1</v>
      </c>
      <c r="J12" t="s">
        <v>114</v>
      </c>
      <c r="K12">
        <v>39</v>
      </c>
      <c r="L12" t="s">
        <v>85</v>
      </c>
      <c r="M12">
        <v>30</v>
      </c>
      <c r="N12">
        <v>17</v>
      </c>
      <c r="O12">
        <v>12</v>
      </c>
      <c r="P12">
        <v>15</v>
      </c>
      <c r="Q12">
        <v>12</v>
      </c>
      <c r="R12">
        <v>13</v>
      </c>
      <c r="S12">
        <v>10</v>
      </c>
      <c r="T12">
        <v>3</v>
      </c>
      <c r="U12">
        <v>1</v>
      </c>
      <c r="V12">
        <v>4</v>
      </c>
      <c r="W12">
        <v>1</v>
      </c>
      <c r="X12">
        <v>1</v>
      </c>
      <c r="Y12">
        <v>0</v>
      </c>
      <c r="Z12" t="s">
        <v>36</v>
      </c>
      <c r="AA12" t="s">
        <v>36</v>
      </c>
      <c r="AB12" t="s">
        <v>36</v>
      </c>
      <c r="AC12" t="s">
        <v>115</v>
      </c>
      <c r="AD12" t="s">
        <v>36</v>
      </c>
      <c r="AE12" t="s">
        <v>116</v>
      </c>
      <c r="AF12" t="s">
        <v>117</v>
      </c>
      <c r="AG12" s="1" t="s">
        <v>1481</v>
      </c>
    </row>
    <row r="13" spans="1:34" ht="15" customHeight="1" x14ac:dyDescent="0.25">
      <c r="A13" t="s">
        <v>119</v>
      </c>
      <c r="B13" t="s">
        <v>119</v>
      </c>
      <c r="C13">
        <v>19</v>
      </c>
      <c r="D13" t="s">
        <v>103</v>
      </c>
      <c r="E13" t="s">
        <v>120</v>
      </c>
      <c r="F13" t="s">
        <v>121</v>
      </c>
      <c r="G13" t="s">
        <v>122</v>
      </c>
      <c r="H13">
        <v>19</v>
      </c>
      <c r="I13">
        <v>14</v>
      </c>
      <c r="J13" t="s">
        <v>123</v>
      </c>
      <c r="K13">
        <v>287</v>
      </c>
      <c r="L13" t="s">
        <v>124</v>
      </c>
      <c r="M13">
        <v>40</v>
      </c>
      <c r="N13">
        <v>26</v>
      </c>
      <c r="O13">
        <v>15</v>
      </c>
      <c r="P13">
        <v>22</v>
      </c>
      <c r="Q13">
        <v>20</v>
      </c>
      <c r="R13">
        <v>16</v>
      </c>
      <c r="S13">
        <v>22</v>
      </c>
      <c r="T13">
        <v>8</v>
      </c>
      <c r="U13">
        <v>2</v>
      </c>
      <c r="V13">
        <v>12</v>
      </c>
      <c r="W13">
        <v>5</v>
      </c>
      <c r="X13">
        <v>9</v>
      </c>
      <c r="Y13">
        <v>6</v>
      </c>
      <c r="Z13" t="s">
        <v>125</v>
      </c>
      <c r="AA13" t="s">
        <v>126</v>
      </c>
      <c r="AB13" t="s">
        <v>36</v>
      </c>
      <c r="AC13" t="s">
        <v>127</v>
      </c>
      <c r="AD13" t="s">
        <v>36</v>
      </c>
      <c r="AE13" t="s">
        <v>128</v>
      </c>
      <c r="AF13" t="s">
        <v>129</v>
      </c>
      <c r="AG13" s="1" t="s">
        <v>1482</v>
      </c>
    </row>
    <row r="14" spans="1:34" ht="15" customHeight="1" x14ac:dyDescent="0.25">
      <c r="A14" t="s">
        <v>131</v>
      </c>
      <c r="B14" t="s">
        <v>132</v>
      </c>
      <c r="C14">
        <v>0.125</v>
      </c>
      <c r="D14" t="s">
        <v>82</v>
      </c>
      <c r="E14" t="s">
        <v>83</v>
      </c>
      <c r="F14" t="s">
        <v>36</v>
      </c>
      <c r="G14" t="s">
        <v>46</v>
      </c>
      <c r="H14">
        <v>12</v>
      </c>
      <c r="I14">
        <v>1</v>
      </c>
      <c r="J14" t="s">
        <v>133</v>
      </c>
      <c r="K14">
        <v>11</v>
      </c>
      <c r="L14" t="s">
        <v>85</v>
      </c>
      <c r="M14">
        <v>30</v>
      </c>
      <c r="N14">
        <v>11</v>
      </c>
      <c r="O14">
        <v>12</v>
      </c>
      <c r="P14">
        <v>12</v>
      </c>
      <c r="Q14">
        <v>10</v>
      </c>
      <c r="R14">
        <v>10</v>
      </c>
      <c r="S14">
        <v>10</v>
      </c>
      <c r="T14">
        <v>0</v>
      </c>
      <c r="U14">
        <v>1</v>
      </c>
      <c r="V14">
        <v>1</v>
      </c>
      <c r="W14">
        <v>0</v>
      </c>
      <c r="X14">
        <v>0</v>
      </c>
      <c r="Y14">
        <v>0</v>
      </c>
      <c r="Z14" t="s">
        <v>36</v>
      </c>
      <c r="AA14" t="s">
        <v>36</v>
      </c>
      <c r="AB14" t="s">
        <v>36</v>
      </c>
      <c r="AC14" t="s">
        <v>36</v>
      </c>
      <c r="AD14" t="s">
        <v>134</v>
      </c>
      <c r="AE14" t="s">
        <v>99</v>
      </c>
      <c r="AF14" t="s">
        <v>1479</v>
      </c>
      <c r="AG14" s="1" t="s">
        <v>1483</v>
      </c>
    </row>
    <row r="15" spans="1:34" ht="15" customHeight="1" x14ac:dyDescent="0.25">
      <c r="A15" t="s">
        <v>136</v>
      </c>
      <c r="B15" t="s">
        <v>132</v>
      </c>
      <c r="C15">
        <v>2</v>
      </c>
      <c r="D15" t="s">
        <v>82</v>
      </c>
      <c r="E15" t="s">
        <v>83</v>
      </c>
      <c r="F15" t="s">
        <v>36</v>
      </c>
      <c r="G15" t="s">
        <v>46</v>
      </c>
      <c r="H15">
        <v>15</v>
      </c>
      <c r="I15">
        <v>3</v>
      </c>
      <c r="J15" t="s">
        <v>137</v>
      </c>
      <c r="K15">
        <v>52</v>
      </c>
      <c r="L15" t="s">
        <v>85</v>
      </c>
      <c r="M15">
        <v>30</v>
      </c>
      <c r="N15">
        <v>15</v>
      </c>
      <c r="O15">
        <v>16</v>
      </c>
      <c r="P15">
        <v>14</v>
      </c>
      <c r="Q15">
        <v>14</v>
      </c>
      <c r="R15">
        <v>11</v>
      </c>
      <c r="S15">
        <v>14</v>
      </c>
      <c r="T15">
        <v>4</v>
      </c>
      <c r="U15">
        <v>5</v>
      </c>
      <c r="V15">
        <v>2</v>
      </c>
      <c r="W15">
        <v>2</v>
      </c>
      <c r="X15">
        <v>2</v>
      </c>
      <c r="Y15">
        <v>2</v>
      </c>
      <c r="Z15" t="s">
        <v>138</v>
      </c>
      <c r="AA15" t="s">
        <v>36</v>
      </c>
      <c r="AB15" t="s">
        <v>36</v>
      </c>
      <c r="AC15" t="s">
        <v>36</v>
      </c>
      <c r="AD15" t="s">
        <v>139</v>
      </c>
      <c r="AE15" t="s">
        <v>99</v>
      </c>
      <c r="AF15" t="s">
        <v>1479</v>
      </c>
      <c r="AG15" s="1" t="s">
        <v>1484</v>
      </c>
    </row>
    <row r="16" spans="1:34" ht="15" customHeight="1" x14ac:dyDescent="0.25">
      <c r="A16" t="s">
        <v>141</v>
      </c>
      <c r="B16" t="s">
        <v>141</v>
      </c>
      <c r="C16">
        <v>5</v>
      </c>
      <c r="D16" t="s">
        <v>56</v>
      </c>
      <c r="E16" t="s">
        <v>120</v>
      </c>
      <c r="F16" t="s">
        <v>142</v>
      </c>
      <c r="G16" t="s">
        <v>37</v>
      </c>
      <c r="H16">
        <v>15</v>
      </c>
      <c r="I16">
        <v>3</v>
      </c>
      <c r="J16" t="s">
        <v>143</v>
      </c>
      <c r="K16">
        <v>110</v>
      </c>
      <c r="L16" t="s">
        <v>144</v>
      </c>
      <c r="M16">
        <v>30</v>
      </c>
      <c r="N16">
        <v>16</v>
      </c>
      <c r="O16">
        <v>17</v>
      </c>
      <c r="P16">
        <v>18</v>
      </c>
      <c r="Q16">
        <v>12</v>
      </c>
      <c r="R16">
        <v>14</v>
      </c>
      <c r="S16">
        <v>14</v>
      </c>
      <c r="T16">
        <v>6</v>
      </c>
      <c r="U16">
        <v>3</v>
      </c>
      <c r="V16">
        <v>7</v>
      </c>
      <c r="W16">
        <v>1</v>
      </c>
      <c r="X16">
        <v>5</v>
      </c>
      <c r="Y16">
        <v>5</v>
      </c>
      <c r="Z16" t="s">
        <v>145</v>
      </c>
      <c r="AA16" t="s">
        <v>146</v>
      </c>
      <c r="AB16" t="s">
        <v>36</v>
      </c>
      <c r="AC16" t="s">
        <v>115</v>
      </c>
      <c r="AD16" t="s">
        <v>36</v>
      </c>
      <c r="AE16" t="s">
        <v>147</v>
      </c>
      <c r="AF16" t="s">
        <v>148</v>
      </c>
      <c r="AG16" s="1" t="s">
        <v>1485</v>
      </c>
    </row>
    <row r="17" spans="1:34" ht="15" customHeight="1" x14ac:dyDescent="0.25">
      <c r="A17" t="s">
        <v>150</v>
      </c>
      <c r="B17" t="s">
        <v>150</v>
      </c>
      <c r="C17">
        <v>3</v>
      </c>
      <c r="D17" t="s">
        <v>56</v>
      </c>
      <c r="E17" t="s">
        <v>76</v>
      </c>
      <c r="F17" t="s">
        <v>36</v>
      </c>
      <c r="G17" t="s">
        <v>58</v>
      </c>
      <c r="H17">
        <v>15</v>
      </c>
      <c r="I17">
        <v>-1</v>
      </c>
      <c r="J17" t="s">
        <v>137</v>
      </c>
      <c r="K17">
        <v>52</v>
      </c>
      <c r="L17" t="s">
        <v>96</v>
      </c>
      <c r="M17">
        <v>20</v>
      </c>
      <c r="N17">
        <v>16</v>
      </c>
      <c r="O17">
        <v>8</v>
      </c>
      <c r="P17">
        <v>15</v>
      </c>
      <c r="Q17">
        <v>2</v>
      </c>
      <c r="R17">
        <v>8</v>
      </c>
      <c r="S17">
        <v>7</v>
      </c>
      <c r="T17">
        <v>3</v>
      </c>
      <c r="U17">
        <v>-1</v>
      </c>
      <c r="V17">
        <v>2</v>
      </c>
      <c r="W17">
        <v>-4</v>
      </c>
      <c r="X17">
        <v>-1</v>
      </c>
      <c r="Y17">
        <v>-2</v>
      </c>
      <c r="Z17" t="s">
        <v>36</v>
      </c>
      <c r="AA17" t="s">
        <v>36</v>
      </c>
      <c r="AB17" t="s">
        <v>36</v>
      </c>
      <c r="AC17" t="s">
        <v>36</v>
      </c>
      <c r="AD17" t="s">
        <v>36</v>
      </c>
      <c r="AE17" t="s">
        <v>151</v>
      </c>
      <c r="AF17" t="s">
        <v>63</v>
      </c>
      <c r="AG17" s="1" t="s">
        <v>152</v>
      </c>
    </row>
    <row r="18" spans="1:34" ht="15" customHeight="1" x14ac:dyDescent="0.25">
      <c r="A18" t="s">
        <v>153</v>
      </c>
      <c r="B18" t="s">
        <v>153</v>
      </c>
      <c r="C18">
        <v>3</v>
      </c>
      <c r="D18" t="s">
        <v>56</v>
      </c>
      <c r="E18" t="s">
        <v>120</v>
      </c>
      <c r="F18" t="s">
        <v>142</v>
      </c>
      <c r="G18" t="s">
        <v>37</v>
      </c>
      <c r="H18">
        <v>13</v>
      </c>
      <c r="I18">
        <v>2</v>
      </c>
      <c r="J18" t="s">
        <v>154</v>
      </c>
      <c r="K18">
        <v>58</v>
      </c>
      <c r="L18" t="s">
        <v>85</v>
      </c>
      <c r="M18">
        <v>30</v>
      </c>
      <c r="N18">
        <v>16</v>
      </c>
      <c r="O18">
        <v>15</v>
      </c>
      <c r="P18">
        <v>15</v>
      </c>
      <c r="Q18">
        <v>9</v>
      </c>
      <c r="R18">
        <v>11</v>
      </c>
      <c r="S18">
        <v>14</v>
      </c>
      <c r="T18">
        <v>5</v>
      </c>
      <c r="U18">
        <v>2</v>
      </c>
      <c r="V18">
        <v>4</v>
      </c>
      <c r="W18">
        <v>-1</v>
      </c>
      <c r="X18">
        <v>0</v>
      </c>
      <c r="Y18">
        <v>4</v>
      </c>
      <c r="Z18" t="s">
        <v>36</v>
      </c>
      <c r="AA18" t="s">
        <v>146</v>
      </c>
      <c r="AB18" t="s">
        <v>36</v>
      </c>
      <c r="AC18" t="s">
        <v>155</v>
      </c>
      <c r="AD18" t="s">
        <v>36</v>
      </c>
      <c r="AE18" t="s">
        <v>156</v>
      </c>
      <c r="AF18" t="s">
        <v>148</v>
      </c>
      <c r="AG18" s="1" t="s">
        <v>1486</v>
      </c>
      <c r="AH18"/>
    </row>
    <row r="19" spans="1:34" ht="15" customHeight="1" x14ac:dyDescent="0.25">
      <c r="A19" t="s">
        <v>158</v>
      </c>
      <c r="B19" t="s">
        <v>158</v>
      </c>
      <c r="C19">
        <v>11</v>
      </c>
      <c r="D19" t="s">
        <v>103</v>
      </c>
      <c r="E19" t="s">
        <v>76</v>
      </c>
      <c r="F19" t="s">
        <v>36</v>
      </c>
      <c r="G19" t="s">
        <v>159</v>
      </c>
      <c r="H19">
        <v>17</v>
      </c>
      <c r="I19">
        <v>3</v>
      </c>
      <c r="J19" t="s">
        <v>160</v>
      </c>
      <c r="K19">
        <v>168</v>
      </c>
      <c r="L19" t="s">
        <v>161</v>
      </c>
      <c r="M19">
        <v>50</v>
      </c>
      <c r="N19">
        <v>23</v>
      </c>
      <c r="O19">
        <v>16</v>
      </c>
      <c r="P19">
        <v>18</v>
      </c>
      <c r="Q19">
        <v>7</v>
      </c>
      <c r="R19">
        <v>14</v>
      </c>
      <c r="S19">
        <v>12</v>
      </c>
      <c r="T19">
        <v>6</v>
      </c>
      <c r="U19">
        <v>3</v>
      </c>
      <c r="V19">
        <v>4</v>
      </c>
      <c r="W19">
        <v>-2</v>
      </c>
      <c r="X19">
        <v>2</v>
      </c>
      <c r="Y19">
        <v>1</v>
      </c>
      <c r="Z19" t="s">
        <v>162</v>
      </c>
      <c r="AA19" t="s">
        <v>36</v>
      </c>
      <c r="AB19" t="s">
        <v>36</v>
      </c>
      <c r="AC19" t="s">
        <v>163</v>
      </c>
      <c r="AD19" t="s">
        <v>36</v>
      </c>
      <c r="AE19" t="s">
        <v>164</v>
      </c>
      <c r="AF19" t="s">
        <v>165</v>
      </c>
      <c r="AG19" s="1" t="s">
        <v>1487</v>
      </c>
    </row>
    <row r="20" spans="1:34" ht="15" customHeight="1" x14ac:dyDescent="0.25">
      <c r="A20" t="s">
        <v>167</v>
      </c>
      <c r="B20" t="s">
        <v>167</v>
      </c>
      <c r="C20">
        <v>2</v>
      </c>
      <c r="D20" t="s">
        <v>82</v>
      </c>
      <c r="E20" t="s">
        <v>83</v>
      </c>
      <c r="F20" t="s">
        <v>36</v>
      </c>
      <c r="G20" t="s">
        <v>46</v>
      </c>
      <c r="H20">
        <v>13</v>
      </c>
      <c r="I20">
        <v>1</v>
      </c>
      <c r="J20" t="s">
        <v>168</v>
      </c>
      <c r="K20">
        <v>67</v>
      </c>
      <c r="L20" t="s">
        <v>85</v>
      </c>
      <c r="M20">
        <v>30</v>
      </c>
      <c r="N20">
        <v>16</v>
      </c>
      <c r="O20">
        <v>12</v>
      </c>
      <c r="P20">
        <v>17</v>
      </c>
      <c r="Q20">
        <v>9</v>
      </c>
      <c r="R20">
        <v>11</v>
      </c>
      <c r="S20">
        <v>9</v>
      </c>
      <c r="T20">
        <v>3</v>
      </c>
      <c r="U20">
        <v>1</v>
      </c>
      <c r="V20">
        <v>3</v>
      </c>
      <c r="W20">
        <v>-1</v>
      </c>
      <c r="X20">
        <v>0</v>
      </c>
      <c r="Y20">
        <v>-1</v>
      </c>
      <c r="Z20" t="s">
        <v>36</v>
      </c>
      <c r="AA20" t="s">
        <v>36</v>
      </c>
      <c r="AB20" t="s">
        <v>36</v>
      </c>
      <c r="AC20" t="s">
        <v>36</v>
      </c>
      <c r="AD20" t="s">
        <v>169</v>
      </c>
      <c r="AE20" t="s">
        <v>99</v>
      </c>
      <c r="AF20" t="s">
        <v>170</v>
      </c>
      <c r="AG20" s="1" t="s">
        <v>171</v>
      </c>
    </row>
    <row r="21" spans="1:34" ht="15" customHeight="1" x14ac:dyDescent="0.25">
      <c r="A21" t="s">
        <v>172</v>
      </c>
      <c r="B21" t="s">
        <v>173</v>
      </c>
      <c r="C21">
        <v>2</v>
      </c>
      <c r="D21" t="s">
        <v>56</v>
      </c>
      <c r="E21" t="s">
        <v>174</v>
      </c>
      <c r="F21" t="s">
        <v>175</v>
      </c>
      <c r="G21" t="s">
        <v>122</v>
      </c>
      <c r="H21">
        <v>17</v>
      </c>
      <c r="I21">
        <v>4</v>
      </c>
      <c r="J21" t="s">
        <v>59</v>
      </c>
      <c r="K21">
        <v>33</v>
      </c>
      <c r="L21" t="s">
        <v>176</v>
      </c>
      <c r="M21">
        <v>30</v>
      </c>
      <c r="N21">
        <v>15</v>
      </c>
      <c r="O21">
        <v>14</v>
      </c>
      <c r="P21">
        <v>13</v>
      </c>
      <c r="Q21">
        <v>10</v>
      </c>
      <c r="R21">
        <v>11</v>
      </c>
      <c r="S21">
        <v>13</v>
      </c>
      <c r="T21">
        <v>2</v>
      </c>
      <c r="U21">
        <v>4</v>
      </c>
      <c r="V21">
        <v>1</v>
      </c>
      <c r="W21">
        <v>0</v>
      </c>
      <c r="X21">
        <v>2</v>
      </c>
      <c r="Y21">
        <v>1</v>
      </c>
      <c r="Z21" t="s">
        <v>177</v>
      </c>
      <c r="AA21" t="s">
        <v>36</v>
      </c>
      <c r="AB21" t="s">
        <v>36</v>
      </c>
      <c r="AC21" t="s">
        <v>178</v>
      </c>
      <c r="AD21" t="s">
        <v>36</v>
      </c>
      <c r="AE21" t="s">
        <v>179</v>
      </c>
      <c r="AF21" t="s">
        <v>165</v>
      </c>
      <c r="AG21" s="1" t="s">
        <v>180</v>
      </c>
    </row>
    <row r="22" spans="1:34" ht="15" customHeight="1" x14ac:dyDescent="0.25">
      <c r="A22" t="s">
        <v>181</v>
      </c>
      <c r="B22" t="s">
        <v>173</v>
      </c>
      <c r="C22">
        <v>7</v>
      </c>
      <c r="D22" t="s">
        <v>34</v>
      </c>
      <c r="E22" t="s">
        <v>174</v>
      </c>
      <c r="F22" t="s">
        <v>175</v>
      </c>
      <c r="G22" t="s">
        <v>122</v>
      </c>
      <c r="H22">
        <v>18</v>
      </c>
      <c r="I22">
        <v>5</v>
      </c>
      <c r="J22" t="s">
        <v>182</v>
      </c>
      <c r="K22">
        <v>127</v>
      </c>
      <c r="L22" t="s">
        <v>183</v>
      </c>
      <c r="M22">
        <v>40</v>
      </c>
      <c r="N22">
        <v>19</v>
      </c>
      <c r="O22">
        <v>14</v>
      </c>
      <c r="P22">
        <v>17</v>
      </c>
      <c r="Q22">
        <v>12</v>
      </c>
      <c r="R22">
        <v>11</v>
      </c>
      <c r="S22">
        <v>15</v>
      </c>
      <c r="T22">
        <v>4</v>
      </c>
      <c r="U22">
        <v>5</v>
      </c>
      <c r="V22">
        <v>3</v>
      </c>
      <c r="W22">
        <v>1</v>
      </c>
      <c r="X22">
        <v>3</v>
      </c>
      <c r="Y22">
        <v>2</v>
      </c>
      <c r="Z22" t="s">
        <v>184</v>
      </c>
      <c r="AA22" t="s">
        <v>36</v>
      </c>
      <c r="AB22" t="s">
        <v>36</v>
      </c>
      <c r="AC22" t="s">
        <v>178</v>
      </c>
      <c r="AD22" t="s">
        <v>36</v>
      </c>
      <c r="AE22" t="s">
        <v>185</v>
      </c>
      <c r="AF22" t="s">
        <v>186</v>
      </c>
      <c r="AG22" s="1" t="s">
        <v>187</v>
      </c>
    </row>
    <row r="23" spans="1:34" ht="15" customHeight="1" x14ac:dyDescent="0.25">
      <c r="A23" t="s">
        <v>188</v>
      </c>
      <c r="B23" t="s">
        <v>173</v>
      </c>
      <c r="C23">
        <v>14</v>
      </c>
      <c r="D23" t="s">
        <v>103</v>
      </c>
      <c r="E23" t="s">
        <v>174</v>
      </c>
      <c r="F23" t="s">
        <v>175</v>
      </c>
      <c r="G23" t="s">
        <v>122</v>
      </c>
      <c r="H23">
        <v>19</v>
      </c>
      <c r="I23">
        <v>12</v>
      </c>
      <c r="J23" t="s">
        <v>189</v>
      </c>
      <c r="K23">
        <v>195</v>
      </c>
      <c r="L23" t="s">
        <v>183</v>
      </c>
      <c r="M23">
        <v>40</v>
      </c>
      <c r="N23">
        <v>23</v>
      </c>
      <c r="O23">
        <v>14</v>
      </c>
      <c r="P23">
        <v>21</v>
      </c>
      <c r="Q23">
        <v>14</v>
      </c>
      <c r="R23">
        <v>13</v>
      </c>
      <c r="S23">
        <v>19</v>
      </c>
      <c r="T23">
        <v>6</v>
      </c>
      <c r="U23">
        <v>7</v>
      </c>
      <c r="V23">
        <v>5</v>
      </c>
      <c r="W23">
        <v>2</v>
      </c>
      <c r="X23">
        <v>6</v>
      </c>
      <c r="Y23">
        <v>4</v>
      </c>
      <c r="Z23" t="s">
        <v>190</v>
      </c>
      <c r="AA23" t="s">
        <v>36</v>
      </c>
      <c r="AB23" t="s">
        <v>36</v>
      </c>
      <c r="AC23" t="s">
        <v>178</v>
      </c>
      <c r="AD23" t="s">
        <v>36</v>
      </c>
      <c r="AE23" t="s">
        <v>191</v>
      </c>
      <c r="AF23" t="s">
        <v>186</v>
      </c>
      <c r="AG23" s="1" t="s">
        <v>1488</v>
      </c>
    </row>
    <row r="24" spans="1:34" ht="15" customHeight="1" x14ac:dyDescent="0.25">
      <c r="A24" t="s">
        <v>193</v>
      </c>
      <c r="B24" t="s">
        <v>173</v>
      </c>
      <c r="C24">
        <v>21</v>
      </c>
      <c r="D24" t="s">
        <v>194</v>
      </c>
      <c r="E24" t="s">
        <v>174</v>
      </c>
      <c r="F24" t="s">
        <v>175</v>
      </c>
      <c r="G24" t="s">
        <v>122</v>
      </c>
      <c r="H24">
        <v>22</v>
      </c>
      <c r="I24">
        <v>16</v>
      </c>
      <c r="J24" t="s">
        <v>195</v>
      </c>
      <c r="K24">
        <v>367</v>
      </c>
      <c r="L24" t="s">
        <v>183</v>
      </c>
      <c r="M24">
        <v>40</v>
      </c>
      <c r="N24">
        <v>27</v>
      </c>
      <c r="O24">
        <v>14</v>
      </c>
      <c r="P24">
        <v>25</v>
      </c>
      <c r="Q24">
        <v>16</v>
      </c>
      <c r="R24">
        <v>15</v>
      </c>
      <c r="S24">
        <v>22</v>
      </c>
      <c r="T24">
        <v>8</v>
      </c>
      <c r="U24">
        <v>9</v>
      </c>
      <c r="V24">
        <v>7</v>
      </c>
      <c r="W24">
        <v>3</v>
      </c>
      <c r="X24">
        <v>9</v>
      </c>
      <c r="Y24">
        <v>6</v>
      </c>
      <c r="Z24" t="s">
        <v>196</v>
      </c>
      <c r="AA24" t="s">
        <v>36</v>
      </c>
      <c r="AB24" t="s">
        <v>36</v>
      </c>
      <c r="AC24" t="s">
        <v>178</v>
      </c>
      <c r="AD24" t="s">
        <v>36</v>
      </c>
      <c r="AE24" t="s">
        <v>197</v>
      </c>
      <c r="AF24" t="s">
        <v>186</v>
      </c>
      <c r="AG24" s="1" t="s">
        <v>1489</v>
      </c>
    </row>
    <row r="25" spans="1:34" ht="15" customHeight="1" x14ac:dyDescent="0.25">
      <c r="A25" t="s">
        <v>199</v>
      </c>
      <c r="B25" t="s">
        <v>199</v>
      </c>
      <c r="C25">
        <v>4</v>
      </c>
      <c r="D25" t="s">
        <v>34</v>
      </c>
      <c r="E25" t="s">
        <v>200</v>
      </c>
      <c r="F25" t="s">
        <v>36</v>
      </c>
      <c r="G25" t="s">
        <v>58</v>
      </c>
      <c r="H25">
        <v>7</v>
      </c>
      <c r="I25">
        <v>-3</v>
      </c>
      <c r="J25" t="s">
        <v>201</v>
      </c>
      <c r="K25">
        <v>68</v>
      </c>
      <c r="L25" t="s">
        <v>202</v>
      </c>
      <c r="M25">
        <v>20</v>
      </c>
      <c r="N25">
        <v>16</v>
      </c>
      <c r="O25">
        <v>5</v>
      </c>
      <c r="P25">
        <v>16</v>
      </c>
      <c r="Q25">
        <v>1</v>
      </c>
      <c r="R25">
        <v>6</v>
      </c>
      <c r="S25">
        <v>1</v>
      </c>
      <c r="T25">
        <v>3</v>
      </c>
      <c r="U25">
        <v>-3</v>
      </c>
      <c r="V25">
        <v>3</v>
      </c>
      <c r="W25">
        <v>-5</v>
      </c>
      <c r="X25">
        <v>-2</v>
      </c>
      <c r="Y25">
        <v>-5</v>
      </c>
      <c r="Z25" t="s">
        <v>36</v>
      </c>
      <c r="AA25" t="s">
        <v>36</v>
      </c>
      <c r="AB25" t="s">
        <v>36</v>
      </c>
      <c r="AC25" t="s">
        <v>203</v>
      </c>
      <c r="AD25" t="s">
        <v>36</v>
      </c>
      <c r="AE25" t="s">
        <v>204</v>
      </c>
      <c r="AF25" t="s">
        <v>63</v>
      </c>
      <c r="AG25" s="1" t="s">
        <v>1490</v>
      </c>
    </row>
    <row r="26" spans="1:34" ht="15" customHeight="1" x14ac:dyDescent="0.25">
      <c r="A26" t="s">
        <v>206</v>
      </c>
      <c r="B26" t="s">
        <v>206</v>
      </c>
      <c r="C26">
        <v>0.25</v>
      </c>
      <c r="D26" t="s">
        <v>56</v>
      </c>
      <c r="E26" t="s">
        <v>207</v>
      </c>
      <c r="F26" t="s">
        <v>36</v>
      </c>
      <c r="G26" t="s">
        <v>208</v>
      </c>
      <c r="H26">
        <v>13</v>
      </c>
      <c r="I26">
        <v>3</v>
      </c>
      <c r="J26" t="s">
        <v>209</v>
      </c>
      <c r="K26">
        <v>22</v>
      </c>
      <c r="L26" t="s">
        <v>210</v>
      </c>
      <c r="M26">
        <v>40</v>
      </c>
      <c r="N26">
        <v>12</v>
      </c>
      <c r="O26">
        <v>17</v>
      </c>
      <c r="P26">
        <v>12</v>
      </c>
      <c r="Q26">
        <v>10</v>
      </c>
      <c r="R26">
        <v>13</v>
      </c>
      <c r="S26">
        <v>11</v>
      </c>
      <c r="T26">
        <v>1</v>
      </c>
      <c r="U26">
        <v>3</v>
      </c>
      <c r="V26">
        <v>1</v>
      </c>
      <c r="W26">
        <v>0</v>
      </c>
      <c r="X26">
        <v>1</v>
      </c>
      <c r="Y26">
        <v>0</v>
      </c>
      <c r="Z26" t="s">
        <v>211</v>
      </c>
      <c r="AA26" t="s">
        <v>36</v>
      </c>
      <c r="AB26" t="s">
        <v>36</v>
      </c>
      <c r="AC26" t="s">
        <v>36</v>
      </c>
      <c r="AD26" t="s">
        <v>36</v>
      </c>
      <c r="AE26" t="s">
        <v>212</v>
      </c>
      <c r="AF26" t="s">
        <v>1491</v>
      </c>
      <c r="AG26" s="1" t="s">
        <v>1492</v>
      </c>
    </row>
    <row r="27" spans="1:34" ht="15" customHeight="1" x14ac:dyDescent="0.25">
      <c r="A27" t="s">
        <v>215</v>
      </c>
      <c r="B27" t="s">
        <v>216</v>
      </c>
      <c r="C27">
        <v>3</v>
      </c>
      <c r="D27" t="s">
        <v>56</v>
      </c>
      <c r="E27" t="s">
        <v>174</v>
      </c>
      <c r="F27" t="s">
        <v>175</v>
      </c>
      <c r="G27" t="s">
        <v>37</v>
      </c>
      <c r="H27">
        <v>17</v>
      </c>
      <c r="I27">
        <v>2</v>
      </c>
      <c r="J27" t="s">
        <v>217</v>
      </c>
      <c r="K27">
        <v>65</v>
      </c>
      <c r="L27" t="s">
        <v>218</v>
      </c>
      <c r="M27">
        <v>30</v>
      </c>
      <c r="N27">
        <v>17</v>
      </c>
      <c r="O27">
        <v>10</v>
      </c>
      <c r="P27">
        <v>15</v>
      </c>
      <c r="Q27">
        <v>12</v>
      </c>
      <c r="R27">
        <v>11</v>
      </c>
      <c r="S27">
        <v>15</v>
      </c>
      <c r="T27">
        <v>3</v>
      </c>
      <c r="U27">
        <v>2</v>
      </c>
      <c r="V27">
        <v>2</v>
      </c>
      <c r="W27">
        <v>1</v>
      </c>
      <c r="X27">
        <v>2</v>
      </c>
      <c r="Y27">
        <v>2</v>
      </c>
      <c r="Z27" t="s">
        <v>219</v>
      </c>
      <c r="AA27" t="s">
        <v>36</v>
      </c>
      <c r="AB27" t="s">
        <v>36</v>
      </c>
      <c r="AC27" t="s">
        <v>163</v>
      </c>
      <c r="AD27" t="s">
        <v>36</v>
      </c>
      <c r="AE27" t="s">
        <v>179</v>
      </c>
      <c r="AF27" t="s">
        <v>165</v>
      </c>
      <c r="AG27" s="1" t="s">
        <v>220</v>
      </c>
    </row>
    <row r="28" spans="1:34" ht="15" customHeight="1" x14ac:dyDescent="0.25">
      <c r="A28" t="s">
        <v>221</v>
      </c>
      <c r="B28" t="s">
        <v>216</v>
      </c>
      <c r="C28">
        <v>9</v>
      </c>
      <c r="D28" t="s">
        <v>34</v>
      </c>
      <c r="E28" t="s">
        <v>174</v>
      </c>
      <c r="F28" t="s">
        <v>175</v>
      </c>
      <c r="G28" t="s">
        <v>37</v>
      </c>
      <c r="H28">
        <v>18</v>
      </c>
      <c r="I28">
        <v>4</v>
      </c>
      <c r="J28" t="s">
        <v>222</v>
      </c>
      <c r="K28">
        <v>152</v>
      </c>
      <c r="L28" t="s">
        <v>223</v>
      </c>
      <c r="M28">
        <v>40</v>
      </c>
      <c r="N28">
        <v>21</v>
      </c>
      <c r="O28">
        <v>10</v>
      </c>
      <c r="P28">
        <v>19</v>
      </c>
      <c r="Q28">
        <v>14</v>
      </c>
      <c r="R28">
        <v>13</v>
      </c>
      <c r="S28">
        <v>17</v>
      </c>
      <c r="T28">
        <v>5</v>
      </c>
      <c r="U28">
        <v>4</v>
      </c>
      <c r="V28">
        <v>4</v>
      </c>
      <c r="W28">
        <v>2</v>
      </c>
      <c r="X28">
        <v>5</v>
      </c>
      <c r="Y28">
        <v>3</v>
      </c>
      <c r="Z28" t="s">
        <v>224</v>
      </c>
      <c r="AA28" t="s">
        <v>36</v>
      </c>
      <c r="AB28" t="s">
        <v>36</v>
      </c>
      <c r="AC28" t="s">
        <v>163</v>
      </c>
      <c r="AD28" t="s">
        <v>36</v>
      </c>
      <c r="AE28" t="s">
        <v>225</v>
      </c>
      <c r="AF28" t="s">
        <v>186</v>
      </c>
      <c r="AG28" s="1" t="s">
        <v>226</v>
      </c>
    </row>
    <row r="29" spans="1:34" ht="15" customHeight="1" x14ac:dyDescent="0.25">
      <c r="A29" t="s">
        <v>227</v>
      </c>
      <c r="B29" t="s">
        <v>216</v>
      </c>
      <c r="C29">
        <v>16</v>
      </c>
      <c r="D29" t="s">
        <v>103</v>
      </c>
      <c r="E29" t="s">
        <v>174</v>
      </c>
      <c r="F29" t="s">
        <v>175</v>
      </c>
      <c r="G29" t="s">
        <v>37</v>
      </c>
      <c r="H29">
        <v>19</v>
      </c>
      <c r="I29">
        <v>10</v>
      </c>
      <c r="J29" t="s">
        <v>228</v>
      </c>
      <c r="K29">
        <v>212</v>
      </c>
      <c r="L29" t="s">
        <v>229</v>
      </c>
      <c r="M29">
        <v>40</v>
      </c>
      <c r="N29">
        <v>25</v>
      </c>
      <c r="O29">
        <v>10</v>
      </c>
      <c r="P29">
        <v>23</v>
      </c>
      <c r="Q29">
        <v>16</v>
      </c>
      <c r="R29">
        <v>15</v>
      </c>
      <c r="S29">
        <v>20</v>
      </c>
      <c r="T29">
        <v>7</v>
      </c>
      <c r="U29">
        <v>5</v>
      </c>
      <c r="V29">
        <v>6</v>
      </c>
      <c r="W29">
        <v>3</v>
      </c>
      <c r="X29">
        <v>7</v>
      </c>
      <c r="Y29">
        <v>5</v>
      </c>
      <c r="Z29" t="s">
        <v>230</v>
      </c>
      <c r="AA29" t="s">
        <v>36</v>
      </c>
      <c r="AB29" t="s">
        <v>36</v>
      </c>
      <c r="AC29" t="s">
        <v>163</v>
      </c>
      <c r="AD29" t="s">
        <v>36</v>
      </c>
      <c r="AE29" t="s">
        <v>231</v>
      </c>
      <c r="AF29" t="s">
        <v>186</v>
      </c>
      <c r="AG29" s="1" t="s">
        <v>1493</v>
      </c>
    </row>
    <row r="30" spans="1:34" ht="15" customHeight="1" x14ac:dyDescent="0.25">
      <c r="A30" t="s">
        <v>233</v>
      </c>
      <c r="B30" t="s">
        <v>216</v>
      </c>
      <c r="C30">
        <v>23</v>
      </c>
      <c r="D30" t="s">
        <v>194</v>
      </c>
      <c r="E30" t="s">
        <v>174</v>
      </c>
      <c r="F30" t="s">
        <v>175</v>
      </c>
      <c r="G30" t="s">
        <v>37</v>
      </c>
      <c r="H30">
        <v>22</v>
      </c>
      <c r="I30">
        <v>14</v>
      </c>
      <c r="J30" t="s">
        <v>234</v>
      </c>
      <c r="K30">
        <v>481</v>
      </c>
      <c r="L30" t="s">
        <v>235</v>
      </c>
      <c r="M30">
        <v>40</v>
      </c>
      <c r="N30">
        <v>29</v>
      </c>
      <c r="O30">
        <v>10</v>
      </c>
      <c r="P30">
        <v>27</v>
      </c>
      <c r="Q30">
        <v>18</v>
      </c>
      <c r="R30">
        <v>17</v>
      </c>
      <c r="S30">
        <v>25</v>
      </c>
      <c r="T30">
        <v>9</v>
      </c>
      <c r="U30">
        <v>7</v>
      </c>
      <c r="V30">
        <v>8</v>
      </c>
      <c r="W30">
        <v>4</v>
      </c>
      <c r="X30">
        <v>10</v>
      </c>
      <c r="Y30">
        <v>7</v>
      </c>
      <c r="Z30" t="s">
        <v>236</v>
      </c>
      <c r="AA30" t="s">
        <v>36</v>
      </c>
      <c r="AB30" t="s">
        <v>36</v>
      </c>
      <c r="AC30" t="s">
        <v>163</v>
      </c>
      <c r="AD30" t="s">
        <v>36</v>
      </c>
      <c r="AE30" t="s">
        <v>237</v>
      </c>
      <c r="AF30" t="s">
        <v>186</v>
      </c>
      <c r="AG30" s="1" t="s">
        <v>1494</v>
      </c>
    </row>
    <row r="31" spans="1:34" ht="15" customHeight="1" x14ac:dyDescent="0.25">
      <c r="A31" t="s">
        <v>239</v>
      </c>
      <c r="B31" t="s">
        <v>239</v>
      </c>
      <c r="C31">
        <v>9</v>
      </c>
      <c r="D31" t="s">
        <v>34</v>
      </c>
      <c r="E31" t="s">
        <v>120</v>
      </c>
      <c r="F31" t="s">
        <v>142</v>
      </c>
      <c r="G31" t="s">
        <v>37</v>
      </c>
      <c r="H31">
        <v>16</v>
      </c>
      <c r="I31">
        <v>7</v>
      </c>
      <c r="J31" t="s">
        <v>240</v>
      </c>
      <c r="K31">
        <v>161</v>
      </c>
      <c r="L31" t="s">
        <v>241</v>
      </c>
      <c r="M31">
        <v>40</v>
      </c>
      <c r="N31">
        <v>18</v>
      </c>
      <c r="O31">
        <v>16</v>
      </c>
      <c r="P31">
        <v>18</v>
      </c>
      <c r="Q31">
        <v>13</v>
      </c>
      <c r="R31">
        <v>14</v>
      </c>
      <c r="S31">
        <v>16</v>
      </c>
      <c r="T31">
        <v>8</v>
      </c>
      <c r="U31">
        <v>3</v>
      </c>
      <c r="V31">
        <v>4</v>
      </c>
      <c r="W31">
        <v>5</v>
      </c>
      <c r="X31">
        <v>6</v>
      </c>
      <c r="Y31">
        <v>7</v>
      </c>
      <c r="Z31" t="s">
        <v>242</v>
      </c>
      <c r="AA31" t="s">
        <v>146</v>
      </c>
      <c r="AB31" t="s">
        <v>36</v>
      </c>
      <c r="AC31" t="s">
        <v>115</v>
      </c>
      <c r="AD31" t="s">
        <v>36</v>
      </c>
      <c r="AE31" t="s">
        <v>243</v>
      </c>
      <c r="AF31" t="s">
        <v>148</v>
      </c>
      <c r="AG31" s="1" t="s">
        <v>1495</v>
      </c>
    </row>
    <row r="32" spans="1:34" ht="15" customHeight="1" x14ac:dyDescent="0.25">
      <c r="A32" t="s">
        <v>245</v>
      </c>
      <c r="B32" t="s">
        <v>246</v>
      </c>
      <c r="C32">
        <v>1</v>
      </c>
      <c r="D32" t="s">
        <v>56</v>
      </c>
      <c r="E32" t="s">
        <v>174</v>
      </c>
      <c r="F32" t="s">
        <v>247</v>
      </c>
      <c r="G32" t="s">
        <v>248</v>
      </c>
      <c r="H32">
        <v>15</v>
      </c>
      <c r="I32">
        <v>2</v>
      </c>
      <c r="J32" t="s">
        <v>209</v>
      </c>
      <c r="K32">
        <v>22</v>
      </c>
      <c r="L32" t="s">
        <v>218</v>
      </c>
      <c r="M32">
        <v>30</v>
      </c>
      <c r="N32">
        <v>15</v>
      </c>
      <c r="O32">
        <v>10</v>
      </c>
      <c r="P32">
        <v>13</v>
      </c>
      <c r="Q32">
        <v>10</v>
      </c>
      <c r="R32">
        <v>11</v>
      </c>
      <c r="S32">
        <v>13</v>
      </c>
      <c r="T32">
        <v>2</v>
      </c>
      <c r="U32">
        <v>2</v>
      </c>
      <c r="V32">
        <v>1</v>
      </c>
      <c r="W32">
        <v>0</v>
      </c>
      <c r="X32">
        <v>2</v>
      </c>
      <c r="Y32">
        <v>1</v>
      </c>
      <c r="Z32" t="s">
        <v>219</v>
      </c>
      <c r="AA32" t="s">
        <v>36</v>
      </c>
      <c r="AB32" t="s">
        <v>36</v>
      </c>
      <c r="AC32" t="s">
        <v>98</v>
      </c>
      <c r="AD32" t="s">
        <v>36</v>
      </c>
      <c r="AE32" t="s">
        <v>179</v>
      </c>
      <c r="AF32" t="s">
        <v>165</v>
      </c>
      <c r="AG32" s="1" t="s">
        <v>249</v>
      </c>
    </row>
    <row r="33" spans="1:33" ht="15" customHeight="1" x14ac:dyDescent="0.25">
      <c r="A33" t="s">
        <v>250</v>
      </c>
      <c r="B33" t="s">
        <v>246</v>
      </c>
      <c r="C33">
        <v>6</v>
      </c>
      <c r="D33" t="s">
        <v>34</v>
      </c>
      <c r="E33" t="s">
        <v>174</v>
      </c>
      <c r="F33" t="s">
        <v>247</v>
      </c>
      <c r="G33" t="s">
        <v>248</v>
      </c>
      <c r="H33">
        <v>17</v>
      </c>
      <c r="I33">
        <v>3</v>
      </c>
      <c r="J33" t="s">
        <v>251</v>
      </c>
      <c r="K33">
        <v>110</v>
      </c>
      <c r="L33" t="s">
        <v>223</v>
      </c>
      <c r="M33">
        <v>40</v>
      </c>
      <c r="N33">
        <v>19</v>
      </c>
      <c r="O33">
        <v>10</v>
      </c>
      <c r="P33">
        <v>17</v>
      </c>
      <c r="Q33">
        <v>12</v>
      </c>
      <c r="R33">
        <v>11</v>
      </c>
      <c r="S33">
        <v>15</v>
      </c>
      <c r="T33">
        <v>4</v>
      </c>
      <c r="U33">
        <v>3</v>
      </c>
      <c r="V33">
        <v>3</v>
      </c>
      <c r="W33">
        <v>1</v>
      </c>
      <c r="X33">
        <v>3</v>
      </c>
      <c r="Y33">
        <v>2</v>
      </c>
      <c r="Z33" t="s">
        <v>252</v>
      </c>
      <c r="AA33" t="s">
        <v>36</v>
      </c>
      <c r="AB33" t="s">
        <v>36</v>
      </c>
      <c r="AC33" t="s">
        <v>98</v>
      </c>
      <c r="AD33" t="s">
        <v>36</v>
      </c>
      <c r="AE33" t="s">
        <v>185</v>
      </c>
      <c r="AF33" t="s">
        <v>186</v>
      </c>
      <c r="AG33" s="1" t="s">
        <v>253</v>
      </c>
    </row>
    <row r="34" spans="1:33" ht="15" customHeight="1" x14ac:dyDescent="0.25">
      <c r="A34" t="s">
        <v>254</v>
      </c>
      <c r="B34" t="s">
        <v>246</v>
      </c>
      <c r="C34">
        <v>13</v>
      </c>
      <c r="D34" t="s">
        <v>103</v>
      </c>
      <c r="E34" t="s">
        <v>174</v>
      </c>
      <c r="F34" t="s">
        <v>247</v>
      </c>
      <c r="G34" t="s">
        <v>248</v>
      </c>
      <c r="H34">
        <v>18</v>
      </c>
      <c r="I34">
        <v>10</v>
      </c>
      <c r="J34" t="s">
        <v>255</v>
      </c>
      <c r="K34">
        <v>172</v>
      </c>
      <c r="L34" t="s">
        <v>229</v>
      </c>
      <c r="M34">
        <v>40</v>
      </c>
      <c r="N34">
        <v>23</v>
      </c>
      <c r="O34">
        <v>10</v>
      </c>
      <c r="P34">
        <v>21</v>
      </c>
      <c r="Q34">
        <v>14</v>
      </c>
      <c r="R34">
        <v>13</v>
      </c>
      <c r="S34">
        <v>17</v>
      </c>
      <c r="T34">
        <v>6</v>
      </c>
      <c r="U34">
        <v>5</v>
      </c>
      <c r="V34">
        <v>5</v>
      </c>
      <c r="W34">
        <v>2</v>
      </c>
      <c r="X34">
        <v>6</v>
      </c>
      <c r="Y34">
        <v>3</v>
      </c>
      <c r="Z34" t="s">
        <v>256</v>
      </c>
      <c r="AA34" t="s">
        <v>36</v>
      </c>
      <c r="AB34" t="s">
        <v>36</v>
      </c>
      <c r="AC34" t="s">
        <v>98</v>
      </c>
      <c r="AD34" t="s">
        <v>36</v>
      </c>
      <c r="AE34" t="s">
        <v>191</v>
      </c>
      <c r="AF34" t="s">
        <v>186</v>
      </c>
      <c r="AG34" s="1" t="s">
        <v>1496</v>
      </c>
    </row>
    <row r="35" spans="1:33" ht="15" customHeight="1" x14ac:dyDescent="0.25">
      <c r="A35" t="s">
        <v>258</v>
      </c>
      <c r="B35" t="s">
        <v>246</v>
      </c>
      <c r="C35">
        <v>20</v>
      </c>
      <c r="D35" t="s">
        <v>194</v>
      </c>
      <c r="E35" t="s">
        <v>174</v>
      </c>
      <c r="F35" t="s">
        <v>247</v>
      </c>
      <c r="G35" t="s">
        <v>248</v>
      </c>
      <c r="H35">
        <v>20</v>
      </c>
      <c r="I35">
        <v>12</v>
      </c>
      <c r="J35" t="s">
        <v>259</v>
      </c>
      <c r="K35">
        <v>332</v>
      </c>
      <c r="L35" t="s">
        <v>235</v>
      </c>
      <c r="M35">
        <v>40</v>
      </c>
      <c r="N35">
        <v>27</v>
      </c>
      <c r="O35">
        <v>10</v>
      </c>
      <c r="P35">
        <v>25</v>
      </c>
      <c r="Q35">
        <v>16</v>
      </c>
      <c r="R35">
        <v>15</v>
      </c>
      <c r="S35">
        <v>22</v>
      </c>
      <c r="T35">
        <v>8</v>
      </c>
      <c r="U35">
        <v>6</v>
      </c>
      <c r="V35">
        <v>7</v>
      </c>
      <c r="W35">
        <v>3</v>
      </c>
      <c r="X35">
        <v>8</v>
      </c>
      <c r="Y35">
        <v>6</v>
      </c>
      <c r="Z35" t="s">
        <v>260</v>
      </c>
      <c r="AA35" t="s">
        <v>36</v>
      </c>
      <c r="AB35" t="s">
        <v>36</v>
      </c>
      <c r="AC35" t="s">
        <v>98</v>
      </c>
      <c r="AD35" t="s">
        <v>36</v>
      </c>
      <c r="AE35" t="s">
        <v>261</v>
      </c>
      <c r="AF35" t="s">
        <v>186</v>
      </c>
      <c r="AG35" s="1" t="s">
        <v>1497</v>
      </c>
    </row>
    <row r="36" spans="1:33" ht="15" customHeight="1" x14ac:dyDescent="0.25">
      <c r="A36" t="s">
        <v>263</v>
      </c>
      <c r="B36" t="s">
        <v>264</v>
      </c>
      <c r="C36">
        <v>2</v>
      </c>
      <c r="D36" t="s">
        <v>56</v>
      </c>
      <c r="E36" t="s">
        <v>174</v>
      </c>
      <c r="F36" t="s">
        <v>247</v>
      </c>
      <c r="G36" t="s">
        <v>208</v>
      </c>
      <c r="H36">
        <v>15</v>
      </c>
      <c r="I36">
        <v>2</v>
      </c>
      <c r="J36" t="s">
        <v>114</v>
      </c>
      <c r="K36">
        <v>39</v>
      </c>
      <c r="L36" t="s">
        <v>176</v>
      </c>
      <c r="M36">
        <v>30</v>
      </c>
      <c r="N36">
        <v>17</v>
      </c>
      <c r="O36">
        <v>10</v>
      </c>
      <c r="P36">
        <v>15</v>
      </c>
      <c r="Q36">
        <v>12</v>
      </c>
      <c r="R36">
        <v>11</v>
      </c>
      <c r="S36">
        <v>15</v>
      </c>
      <c r="T36">
        <v>3</v>
      </c>
      <c r="U36">
        <v>2</v>
      </c>
      <c r="V36">
        <v>2</v>
      </c>
      <c r="W36">
        <v>1</v>
      </c>
      <c r="X36">
        <v>2</v>
      </c>
      <c r="Y36">
        <v>2</v>
      </c>
      <c r="Z36" t="s">
        <v>219</v>
      </c>
      <c r="AA36" t="s">
        <v>36</v>
      </c>
      <c r="AB36" t="s">
        <v>36</v>
      </c>
      <c r="AC36" t="s">
        <v>163</v>
      </c>
      <c r="AD36" t="s">
        <v>36</v>
      </c>
      <c r="AE36" t="s">
        <v>179</v>
      </c>
      <c r="AF36" t="s">
        <v>165</v>
      </c>
      <c r="AG36" s="1" t="s">
        <v>265</v>
      </c>
    </row>
    <row r="37" spans="1:33" ht="15" customHeight="1" x14ac:dyDescent="0.25">
      <c r="A37" t="s">
        <v>266</v>
      </c>
      <c r="B37" t="s">
        <v>264</v>
      </c>
      <c r="C37">
        <v>8</v>
      </c>
      <c r="D37" t="s">
        <v>34</v>
      </c>
      <c r="E37" t="s">
        <v>174</v>
      </c>
      <c r="F37" t="s">
        <v>247</v>
      </c>
      <c r="G37" t="s">
        <v>208</v>
      </c>
      <c r="H37">
        <v>17</v>
      </c>
      <c r="I37">
        <v>3</v>
      </c>
      <c r="J37" t="s">
        <v>267</v>
      </c>
      <c r="K37">
        <v>142</v>
      </c>
      <c r="L37" t="s">
        <v>183</v>
      </c>
      <c r="M37">
        <v>40</v>
      </c>
      <c r="N37">
        <v>21</v>
      </c>
      <c r="O37">
        <v>10</v>
      </c>
      <c r="P37">
        <v>19</v>
      </c>
      <c r="Q37">
        <v>14</v>
      </c>
      <c r="R37">
        <v>13</v>
      </c>
      <c r="S37">
        <v>17</v>
      </c>
      <c r="T37">
        <v>5</v>
      </c>
      <c r="U37">
        <v>3</v>
      </c>
      <c r="V37">
        <v>4</v>
      </c>
      <c r="W37">
        <v>2</v>
      </c>
      <c r="X37">
        <v>4</v>
      </c>
      <c r="Y37">
        <v>3</v>
      </c>
      <c r="Z37" t="s">
        <v>268</v>
      </c>
      <c r="AA37" t="s">
        <v>36</v>
      </c>
      <c r="AB37" t="s">
        <v>36</v>
      </c>
      <c r="AC37" t="s">
        <v>163</v>
      </c>
      <c r="AD37" t="s">
        <v>36</v>
      </c>
      <c r="AE37" t="s">
        <v>269</v>
      </c>
      <c r="AF37" t="s">
        <v>186</v>
      </c>
      <c r="AG37" s="1" t="s">
        <v>270</v>
      </c>
    </row>
    <row r="38" spans="1:33" ht="15" customHeight="1" x14ac:dyDescent="0.25">
      <c r="A38" t="s">
        <v>271</v>
      </c>
      <c r="B38" t="s">
        <v>264</v>
      </c>
      <c r="C38">
        <v>15</v>
      </c>
      <c r="D38" t="s">
        <v>103</v>
      </c>
      <c r="E38" t="s">
        <v>174</v>
      </c>
      <c r="F38" t="s">
        <v>247</v>
      </c>
      <c r="G38" t="s">
        <v>208</v>
      </c>
      <c r="H38">
        <v>18</v>
      </c>
      <c r="I38">
        <v>10</v>
      </c>
      <c r="J38" t="s">
        <v>228</v>
      </c>
      <c r="K38">
        <v>212</v>
      </c>
      <c r="L38" t="s">
        <v>183</v>
      </c>
      <c r="M38">
        <v>40</v>
      </c>
      <c r="N38">
        <v>25</v>
      </c>
      <c r="O38">
        <v>10</v>
      </c>
      <c r="P38">
        <v>23</v>
      </c>
      <c r="Q38">
        <v>16</v>
      </c>
      <c r="R38">
        <v>15</v>
      </c>
      <c r="S38">
        <v>20</v>
      </c>
      <c r="T38">
        <v>7</v>
      </c>
      <c r="U38">
        <v>5</v>
      </c>
      <c r="V38">
        <v>6</v>
      </c>
      <c r="W38">
        <v>3</v>
      </c>
      <c r="X38">
        <v>7</v>
      </c>
      <c r="Y38">
        <v>5</v>
      </c>
      <c r="Z38" t="s">
        <v>272</v>
      </c>
      <c r="AA38" t="s">
        <v>36</v>
      </c>
      <c r="AB38" t="s">
        <v>36</v>
      </c>
      <c r="AC38" t="s">
        <v>163</v>
      </c>
      <c r="AD38" t="s">
        <v>36</v>
      </c>
      <c r="AE38" t="s">
        <v>231</v>
      </c>
      <c r="AF38" t="s">
        <v>186</v>
      </c>
      <c r="AG38" s="1" t="s">
        <v>1498</v>
      </c>
    </row>
    <row r="39" spans="1:33" ht="15" customHeight="1" x14ac:dyDescent="0.25">
      <c r="A39" t="s">
        <v>274</v>
      </c>
      <c r="B39" t="s">
        <v>264</v>
      </c>
      <c r="C39">
        <v>22</v>
      </c>
      <c r="D39" t="s">
        <v>194</v>
      </c>
      <c r="E39" t="s">
        <v>174</v>
      </c>
      <c r="F39" t="s">
        <v>247</v>
      </c>
      <c r="G39" t="s">
        <v>208</v>
      </c>
      <c r="H39">
        <v>22</v>
      </c>
      <c r="I39">
        <v>14</v>
      </c>
      <c r="J39" t="s">
        <v>275</v>
      </c>
      <c r="K39">
        <v>444</v>
      </c>
      <c r="L39" t="s">
        <v>183</v>
      </c>
      <c r="M39">
        <v>40</v>
      </c>
      <c r="N39">
        <v>29</v>
      </c>
      <c r="O39">
        <v>10</v>
      </c>
      <c r="P39">
        <v>27</v>
      </c>
      <c r="Q39">
        <v>18</v>
      </c>
      <c r="R39">
        <v>17</v>
      </c>
      <c r="S39">
        <v>25</v>
      </c>
      <c r="T39">
        <v>9</v>
      </c>
      <c r="U39">
        <v>7</v>
      </c>
      <c r="V39">
        <v>8</v>
      </c>
      <c r="W39">
        <v>4</v>
      </c>
      <c r="X39">
        <v>10</v>
      </c>
      <c r="Y39">
        <v>7</v>
      </c>
      <c r="Z39" t="s">
        <v>276</v>
      </c>
      <c r="AA39" t="s">
        <v>36</v>
      </c>
      <c r="AB39" t="s">
        <v>36</v>
      </c>
      <c r="AC39" t="s">
        <v>163</v>
      </c>
      <c r="AD39" t="s">
        <v>36</v>
      </c>
      <c r="AE39" t="s">
        <v>237</v>
      </c>
      <c r="AF39" t="s">
        <v>186</v>
      </c>
      <c r="AG39" s="1" t="s">
        <v>1499</v>
      </c>
    </row>
    <row r="40" spans="1:33" ht="15" customHeight="1" x14ac:dyDescent="0.25">
      <c r="A40" t="s">
        <v>278</v>
      </c>
      <c r="B40" t="s">
        <v>279</v>
      </c>
      <c r="C40">
        <v>3</v>
      </c>
      <c r="D40" t="s">
        <v>56</v>
      </c>
      <c r="E40" t="s">
        <v>207</v>
      </c>
      <c r="F40" t="s">
        <v>280</v>
      </c>
      <c r="G40" t="s">
        <v>122</v>
      </c>
      <c r="H40">
        <v>15</v>
      </c>
      <c r="I40">
        <v>2</v>
      </c>
      <c r="J40" t="s">
        <v>217</v>
      </c>
      <c r="K40">
        <v>65</v>
      </c>
      <c r="L40" t="s">
        <v>85</v>
      </c>
      <c r="M40">
        <v>30</v>
      </c>
      <c r="N40">
        <v>17</v>
      </c>
      <c r="O40">
        <v>14</v>
      </c>
      <c r="P40">
        <v>14</v>
      </c>
      <c r="Q40">
        <v>11</v>
      </c>
      <c r="R40">
        <v>12</v>
      </c>
      <c r="S40">
        <v>11</v>
      </c>
      <c r="T40">
        <v>3</v>
      </c>
      <c r="U40">
        <v>2</v>
      </c>
      <c r="V40">
        <v>4</v>
      </c>
      <c r="W40">
        <v>0</v>
      </c>
      <c r="X40">
        <v>3</v>
      </c>
      <c r="Y40">
        <v>0</v>
      </c>
      <c r="Z40" t="s">
        <v>281</v>
      </c>
      <c r="AA40" t="s">
        <v>36</v>
      </c>
      <c r="AB40" t="s">
        <v>36</v>
      </c>
      <c r="AC40" t="s">
        <v>36</v>
      </c>
      <c r="AD40" t="s">
        <v>282</v>
      </c>
      <c r="AE40" t="s">
        <v>283</v>
      </c>
      <c r="AF40" t="s">
        <v>284</v>
      </c>
      <c r="AG40" s="1" t="s">
        <v>1500</v>
      </c>
    </row>
    <row r="41" spans="1:33" ht="15" customHeight="1" x14ac:dyDescent="0.25">
      <c r="A41" t="s">
        <v>286</v>
      </c>
      <c r="B41" t="s">
        <v>279</v>
      </c>
      <c r="C41">
        <v>1</v>
      </c>
      <c r="D41" t="s">
        <v>56</v>
      </c>
      <c r="E41" t="s">
        <v>207</v>
      </c>
      <c r="F41" t="s">
        <v>280</v>
      </c>
      <c r="G41" t="s">
        <v>122</v>
      </c>
      <c r="H41">
        <v>14</v>
      </c>
      <c r="I41">
        <v>2</v>
      </c>
      <c r="J41" t="s">
        <v>59</v>
      </c>
      <c r="K41">
        <v>33</v>
      </c>
      <c r="L41" t="s">
        <v>85</v>
      </c>
      <c r="M41">
        <v>30</v>
      </c>
      <c r="N41">
        <v>15</v>
      </c>
      <c r="O41">
        <v>14</v>
      </c>
      <c r="P41">
        <v>13</v>
      </c>
      <c r="Q41">
        <v>8</v>
      </c>
      <c r="R41">
        <v>11</v>
      </c>
      <c r="S41">
        <v>9</v>
      </c>
      <c r="T41">
        <v>2</v>
      </c>
      <c r="U41">
        <v>2</v>
      </c>
      <c r="V41">
        <v>1</v>
      </c>
      <c r="W41">
        <v>-1</v>
      </c>
      <c r="X41">
        <v>0</v>
      </c>
      <c r="Y41">
        <v>-1</v>
      </c>
      <c r="Z41" t="s">
        <v>287</v>
      </c>
      <c r="AA41" t="s">
        <v>36</v>
      </c>
      <c r="AB41" t="s">
        <v>36</v>
      </c>
      <c r="AC41" t="s">
        <v>36</v>
      </c>
      <c r="AD41" t="s">
        <v>288</v>
      </c>
      <c r="AE41" t="s">
        <v>51</v>
      </c>
      <c r="AF41" t="s">
        <v>284</v>
      </c>
      <c r="AG41" s="1" t="s">
        <v>1501</v>
      </c>
    </row>
    <row r="42" spans="1:33" ht="15" customHeight="1" x14ac:dyDescent="0.25">
      <c r="A42" t="s">
        <v>290</v>
      </c>
      <c r="B42" t="s">
        <v>290</v>
      </c>
      <c r="C42">
        <v>5</v>
      </c>
      <c r="D42" t="s">
        <v>34</v>
      </c>
      <c r="E42" t="s">
        <v>76</v>
      </c>
      <c r="F42" t="s">
        <v>36</v>
      </c>
      <c r="G42" t="s">
        <v>58</v>
      </c>
      <c r="H42">
        <v>17</v>
      </c>
      <c r="I42">
        <v>0</v>
      </c>
      <c r="J42" t="s">
        <v>291</v>
      </c>
      <c r="K42">
        <v>94</v>
      </c>
      <c r="L42" t="s">
        <v>292</v>
      </c>
      <c r="M42">
        <v>40</v>
      </c>
      <c r="N42">
        <v>19</v>
      </c>
      <c r="O42">
        <v>11</v>
      </c>
      <c r="P42">
        <v>21</v>
      </c>
      <c r="Q42">
        <v>2</v>
      </c>
      <c r="R42">
        <v>10</v>
      </c>
      <c r="S42">
        <v>5</v>
      </c>
      <c r="T42">
        <v>4</v>
      </c>
      <c r="U42">
        <v>0</v>
      </c>
      <c r="V42">
        <v>5</v>
      </c>
      <c r="W42">
        <v>-4</v>
      </c>
      <c r="X42">
        <v>0</v>
      </c>
      <c r="Y42">
        <v>-3</v>
      </c>
      <c r="Z42" t="s">
        <v>293</v>
      </c>
      <c r="AA42" t="s">
        <v>36</v>
      </c>
      <c r="AB42" t="s">
        <v>36</v>
      </c>
      <c r="AC42" t="s">
        <v>36</v>
      </c>
      <c r="AD42" t="s">
        <v>36</v>
      </c>
      <c r="AE42" t="s">
        <v>294</v>
      </c>
      <c r="AF42" t="s">
        <v>63</v>
      </c>
      <c r="AG42" s="1" t="s">
        <v>1502</v>
      </c>
    </row>
    <row r="43" spans="1:33" ht="15" customHeight="1" x14ac:dyDescent="0.25">
      <c r="A43" t="s">
        <v>296</v>
      </c>
      <c r="B43" t="s">
        <v>297</v>
      </c>
      <c r="C43">
        <v>2</v>
      </c>
      <c r="D43" t="s">
        <v>34</v>
      </c>
      <c r="E43" t="s">
        <v>207</v>
      </c>
      <c r="F43" t="s">
        <v>36</v>
      </c>
      <c r="G43" t="s">
        <v>298</v>
      </c>
      <c r="H43">
        <v>16</v>
      </c>
      <c r="I43">
        <v>2</v>
      </c>
      <c r="J43" t="s">
        <v>77</v>
      </c>
      <c r="K43">
        <v>45</v>
      </c>
      <c r="L43" t="s">
        <v>109</v>
      </c>
      <c r="M43">
        <v>50</v>
      </c>
      <c r="N43">
        <v>18</v>
      </c>
      <c r="O43">
        <v>14</v>
      </c>
      <c r="P43">
        <v>14</v>
      </c>
      <c r="Q43">
        <v>9</v>
      </c>
      <c r="R43">
        <v>13</v>
      </c>
      <c r="S43">
        <v>11</v>
      </c>
      <c r="T43">
        <v>4</v>
      </c>
      <c r="U43">
        <v>2</v>
      </c>
      <c r="V43">
        <v>2</v>
      </c>
      <c r="W43">
        <v>-1</v>
      </c>
      <c r="X43">
        <v>1</v>
      </c>
      <c r="Y43">
        <v>0</v>
      </c>
      <c r="Z43" t="s">
        <v>299</v>
      </c>
      <c r="AA43" t="s">
        <v>36</v>
      </c>
      <c r="AB43" t="s">
        <v>36</v>
      </c>
      <c r="AC43" t="s">
        <v>36</v>
      </c>
      <c r="AD43" t="s">
        <v>300</v>
      </c>
      <c r="AE43" t="s">
        <v>301</v>
      </c>
      <c r="AF43" t="s">
        <v>302</v>
      </c>
      <c r="AG43" s="1" t="s">
        <v>303</v>
      </c>
    </row>
    <row r="44" spans="1:33" ht="15" customHeight="1" x14ac:dyDescent="0.25">
      <c r="A44" t="s">
        <v>304</v>
      </c>
      <c r="B44" t="s">
        <v>304</v>
      </c>
      <c r="C44">
        <v>8</v>
      </c>
      <c r="D44" t="s">
        <v>56</v>
      </c>
      <c r="E44" t="s">
        <v>120</v>
      </c>
      <c r="F44" t="s">
        <v>142</v>
      </c>
      <c r="G44" t="s">
        <v>37</v>
      </c>
      <c r="H44">
        <v>15</v>
      </c>
      <c r="I44">
        <v>5</v>
      </c>
      <c r="J44" t="s">
        <v>305</v>
      </c>
      <c r="K44">
        <v>85</v>
      </c>
      <c r="L44" t="s">
        <v>85</v>
      </c>
      <c r="M44">
        <v>30</v>
      </c>
      <c r="N44">
        <v>18</v>
      </c>
      <c r="O44">
        <v>15</v>
      </c>
      <c r="P44">
        <v>18</v>
      </c>
      <c r="Q44">
        <v>11</v>
      </c>
      <c r="R44">
        <v>12</v>
      </c>
      <c r="S44">
        <v>14</v>
      </c>
      <c r="T44">
        <v>4</v>
      </c>
      <c r="U44">
        <v>2</v>
      </c>
      <c r="V44">
        <v>7</v>
      </c>
      <c r="W44">
        <v>0</v>
      </c>
      <c r="X44">
        <v>4</v>
      </c>
      <c r="Y44">
        <v>2</v>
      </c>
      <c r="Z44" t="s">
        <v>36</v>
      </c>
      <c r="AA44" t="s">
        <v>306</v>
      </c>
      <c r="AB44" t="s">
        <v>36</v>
      </c>
      <c r="AC44" t="s">
        <v>115</v>
      </c>
      <c r="AD44" t="s">
        <v>36</v>
      </c>
      <c r="AE44" t="s">
        <v>307</v>
      </c>
      <c r="AF44" t="s">
        <v>148</v>
      </c>
      <c r="AG44" s="1" t="s">
        <v>1503</v>
      </c>
    </row>
    <row r="45" spans="1:33" ht="15" customHeight="1" x14ac:dyDescent="0.25">
      <c r="A45" t="s">
        <v>309</v>
      </c>
      <c r="B45" t="s">
        <v>309</v>
      </c>
      <c r="C45">
        <v>6</v>
      </c>
      <c r="D45" t="s">
        <v>34</v>
      </c>
      <c r="E45" t="s">
        <v>76</v>
      </c>
      <c r="F45" t="s">
        <v>36</v>
      </c>
      <c r="G45" t="s">
        <v>122</v>
      </c>
      <c r="H45">
        <v>14</v>
      </c>
      <c r="I45">
        <v>0</v>
      </c>
      <c r="J45" t="s">
        <v>310</v>
      </c>
      <c r="K45">
        <v>114</v>
      </c>
      <c r="L45" t="s">
        <v>311</v>
      </c>
      <c r="M45">
        <v>30</v>
      </c>
      <c r="N45">
        <v>19</v>
      </c>
      <c r="O45">
        <v>11</v>
      </c>
      <c r="P45">
        <v>19</v>
      </c>
      <c r="Q45">
        <v>3</v>
      </c>
      <c r="R45">
        <v>14</v>
      </c>
      <c r="S45">
        <v>10</v>
      </c>
      <c r="T45">
        <v>4</v>
      </c>
      <c r="U45">
        <v>0</v>
      </c>
      <c r="V45">
        <v>4</v>
      </c>
      <c r="W45">
        <v>-4</v>
      </c>
      <c r="X45">
        <v>2</v>
      </c>
      <c r="Y45">
        <v>0</v>
      </c>
      <c r="Z45" t="s">
        <v>312</v>
      </c>
      <c r="AA45" t="s">
        <v>36</v>
      </c>
      <c r="AB45" t="s">
        <v>36</v>
      </c>
      <c r="AC45" t="s">
        <v>36</v>
      </c>
      <c r="AD45" t="s">
        <v>36</v>
      </c>
      <c r="AE45" t="s">
        <v>313</v>
      </c>
      <c r="AF45" t="s">
        <v>1504</v>
      </c>
      <c r="AG45" s="1" t="s">
        <v>1505</v>
      </c>
    </row>
    <row r="46" spans="1:33" ht="15" customHeight="1" x14ac:dyDescent="0.25">
      <c r="A46" t="s">
        <v>316</v>
      </c>
      <c r="B46" t="s">
        <v>316</v>
      </c>
      <c r="C46">
        <v>4</v>
      </c>
      <c r="D46" t="s">
        <v>34</v>
      </c>
      <c r="E46" t="s">
        <v>35</v>
      </c>
      <c r="F46" t="s">
        <v>36</v>
      </c>
      <c r="G46" t="s">
        <v>122</v>
      </c>
      <c r="H46">
        <v>16</v>
      </c>
      <c r="I46">
        <v>0</v>
      </c>
      <c r="J46" t="s">
        <v>317</v>
      </c>
      <c r="K46">
        <v>76</v>
      </c>
      <c r="L46" t="s">
        <v>318</v>
      </c>
      <c r="M46">
        <v>30</v>
      </c>
      <c r="N46">
        <v>19</v>
      </c>
      <c r="O46">
        <v>10</v>
      </c>
      <c r="P46">
        <v>16</v>
      </c>
      <c r="Q46">
        <v>5</v>
      </c>
      <c r="R46">
        <v>11</v>
      </c>
      <c r="S46">
        <v>5</v>
      </c>
      <c r="T46">
        <v>4</v>
      </c>
      <c r="U46">
        <v>0</v>
      </c>
      <c r="V46">
        <v>3</v>
      </c>
      <c r="W46">
        <v>-3</v>
      </c>
      <c r="X46">
        <v>0</v>
      </c>
      <c r="Y46">
        <v>-3</v>
      </c>
      <c r="Z46" t="s">
        <v>319</v>
      </c>
      <c r="AA46" t="s">
        <v>36</v>
      </c>
      <c r="AB46" t="s">
        <v>36</v>
      </c>
      <c r="AC46" t="s">
        <v>320</v>
      </c>
      <c r="AD46" t="s">
        <v>36</v>
      </c>
      <c r="AE46" t="s">
        <v>321</v>
      </c>
      <c r="AF46" t="s">
        <v>1506</v>
      </c>
      <c r="AG46" s="1" t="s">
        <v>1507</v>
      </c>
    </row>
    <row r="47" spans="1:33" ht="15" customHeight="1" x14ac:dyDescent="0.25">
      <c r="A47" t="s">
        <v>324</v>
      </c>
      <c r="B47" t="s">
        <v>324</v>
      </c>
      <c r="C47">
        <v>9</v>
      </c>
      <c r="D47" t="s">
        <v>34</v>
      </c>
      <c r="E47" t="s">
        <v>57</v>
      </c>
      <c r="F47" t="s">
        <v>36</v>
      </c>
      <c r="G47" t="s">
        <v>58</v>
      </c>
      <c r="H47">
        <v>14</v>
      </c>
      <c r="I47">
        <v>3</v>
      </c>
      <c r="J47" t="s">
        <v>325</v>
      </c>
      <c r="K47">
        <v>123</v>
      </c>
      <c r="L47" t="s">
        <v>85</v>
      </c>
      <c r="M47">
        <v>30</v>
      </c>
      <c r="N47">
        <v>20</v>
      </c>
      <c r="O47">
        <v>9</v>
      </c>
      <c r="P47">
        <v>18</v>
      </c>
      <c r="Q47">
        <v>3</v>
      </c>
      <c r="R47">
        <v>8</v>
      </c>
      <c r="S47">
        <v>1</v>
      </c>
      <c r="T47">
        <v>5</v>
      </c>
      <c r="U47">
        <v>-1</v>
      </c>
      <c r="V47">
        <v>4</v>
      </c>
      <c r="W47">
        <v>-4</v>
      </c>
      <c r="X47">
        <v>-1</v>
      </c>
      <c r="Y47">
        <v>-5</v>
      </c>
      <c r="Z47" t="s">
        <v>36</v>
      </c>
      <c r="AA47" t="s">
        <v>326</v>
      </c>
      <c r="AB47" t="s">
        <v>36</v>
      </c>
      <c r="AC47" t="s">
        <v>327</v>
      </c>
      <c r="AD47" t="s">
        <v>36</v>
      </c>
      <c r="AE47" t="s">
        <v>151</v>
      </c>
      <c r="AF47" t="s">
        <v>100</v>
      </c>
      <c r="AG47" s="1" t="s">
        <v>1508</v>
      </c>
    </row>
    <row r="48" spans="1:33" ht="15" customHeight="1" x14ac:dyDescent="0.25">
      <c r="A48" t="s">
        <v>329</v>
      </c>
      <c r="B48" t="s">
        <v>329</v>
      </c>
      <c r="C48">
        <v>8</v>
      </c>
      <c r="D48" t="s">
        <v>34</v>
      </c>
      <c r="E48" t="s">
        <v>35</v>
      </c>
      <c r="F48" t="s">
        <v>36</v>
      </c>
      <c r="G48" t="s">
        <v>330</v>
      </c>
      <c r="H48">
        <v>14</v>
      </c>
      <c r="I48">
        <v>5</v>
      </c>
      <c r="J48" t="s">
        <v>331</v>
      </c>
      <c r="K48">
        <v>91</v>
      </c>
      <c r="L48" t="s">
        <v>332</v>
      </c>
      <c r="M48">
        <v>10</v>
      </c>
      <c r="N48">
        <v>17</v>
      </c>
      <c r="O48">
        <v>15</v>
      </c>
      <c r="P48">
        <v>12</v>
      </c>
      <c r="Q48">
        <v>13</v>
      </c>
      <c r="R48">
        <v>14</v>
      </c>
      <c r="S48">
        <v>7</v>
      </c>
      <c r="T48">
        <v>3</v>
      </c>
      <c r="U48">
        <v>2</v>
      </c>
      <c r="V48">
        <v>1</v>
      </c>
      <c r="W48">
        <v>1</v>
      </c>
      <c r="X48">
        <v>2</v>
      </c>
      <c r="Y48">
        <v>-2</v>
      </c>
      <c r="Z48" t="s">
        <v>333</v>
      </c>
      <c r="AA48" t="s">
        <v>36</v>
      </c>
      <c r="AB48" t="s">
        <v>36</v>
      </c>
      <c r="AC48" t="s">
        <v>334</v>
      </c>
      <c r="AD48" t="s">
        <v>36</v>
      </c>
      <c r="AE48" t="s">
        <v>335</v>
      </c>
      <c r="AF48" t="s">
        <v>336</v>
      </c>
      <c r="AG48" s="1" t="s">
        <v>1509</v>
      </c>
    </row>
    <row r="49" spans="1:33" ht="15" customHeight="1" x14ac:dyDescent="0.25">
      <c r="A49" t="s">
        <v>338</v>
      </c>
      <c r="B49" t="s">
        <v>338</v>
      </c>
      <c r="C49">
        <v>9</v>
      </c>
      <c r="D49" t="s">
        <v>103</v>
      </c>
      <c r="E49" t="s">
        <v>339</v>
      </c>
      <c r="F49" t="s">
        <v>36</v>
      </c>
      <c r="G49" t="s">
        <v>46</v>
      </c>
      <c r="H49">
        <v>14</v>
      </c>
      <c r="I49">
        <v>4</v>
      </c>
      <c r="J49" t="s">
        <v>340</v>
      </c>
      <c r="K49">
        <v>200</v>
      </c>
      <c r="L49" t="s">
        <v>341</v>
      </c>
      <c r="M49">
        <v>40</v>
      </c>
      <c r="N49">
        <v>27</v>
      </c>
      <c r="O49">
        <v>10</v>
      </c>
      <c r="P49">
        <v>22</v>
      </c>
      <c r="Q49">
        <v>12</v>
      </c>
      <c r="R49">
        <v>16</v>
      </c>
      <c r="S49">
        <v>16</v>
      </c>
      <c r="T49">
        <v>8</v>
      </c>
      <c r="U49">
        <v>0</v>
      </c>
      <c r="V49">
        <v>10</v>
      </c>
      <c r="W49">
        <v>1</v>
      </c>
      <c r="X49">
        <v>7</v>
      </c>
      <c r="Y49">
        <v>3</v>
      </c>
      <c r="Z49" t="s">
        <v>342</v>
      </c>
      <c r="AA49" t="s">
        <v>36</v>
      </c>
      <c r="AB49" t="s">
        <v>36</v>
      </c>
      <c r="AC49" t="s">
        <v>36</v>
      </c>
      <c r="AD49" t="s">
        <v>36</v>
      </c>
      <c r="AE49" t="s">
        <v>343</v>
      </c>
      <c r="AF49" t="s">
        <v>344</v>
      </c>
      <c r="AG49" s="1" t="s">
        <v>345</v>
      </c>
    </row>
    <row r="50" spans="1:33" ht="15" customHeight="1" x14ac:dyDescent="0.25">
      <c r="A50" t="s">
        <v>346</v>
      </c>
      <c r="B50" t="s">
        <v>346</v>
      </c>
      <c r="C50">
        <v>0.5</v>
      </c>
      <c r="D50" t="s">
        <v>66</v>
      </c>
      <c r="E50" t="s">
        <v>76</v>
      </c>
      <c r="F50" t="s">
        <v>36</v>
      </c>
      <c r="G50" t="s">
        <v>58</v>
      </c>
      <c r="H50">
        <v>11</v>
      </c>
      <c r="I50">
        <v>1</v>
      </c>
      <c r="J50" t="s">
        <v>347</v>
      </c>
      <c r="K50">
        <v>22</v>
      </c>
      <c r="L50" t="s">
        <v>348</v>
      </c>
      <c r="M50">
        <v>20</v>
      </c>
      <c r="N50">
        <v>6</v>
      </c>
      <c r="O50">
        <v>12</v>
      </c>
      <c r="P50">
        <v>12</v>
      </c>
      <c r="Q50">
        <v>2</v>
      </c>
      <c r="R50">
        <v>13</v>
      </c>
      <c r="S50">
        <v>5</v>
      </c>
      <c r="T50">
        <v>-2</v>
      </c>
      <c r="U50">
        <v>1</v>
      </c>
      <c r="V50">
        <v>1</v>
      </c>
      <c r="W50">
        <v>-4</v>
      </c>
      <c r="X50">
        <v>1</v>
      </c>
      <c r="Y50">
        <v>-3</v>
      </c>
      <c r="Z50" t="s">
        <v>36</v>
      </c>
      <c r="AA50" t="s">
        <v>36</v>
      </c>
      <c r="AB50" t="s">
        <v>36</v>
      </c>
      <c r="AC50" t="s">
        <v>349</v>
      </c>
      <c r="AD50" t="s">
        <v>36</v>
      </c>
      <c r="AE50" t="s">
        <v>283</v>
      </c>
      <c r="AF50" t="s">
        <v>63</v>
      </c>
      <c r="AG50" s="1" t="s">
        <v>350</v>
      </c>
    </row>
    <row r="51" spans="1:33" ht="15" customHeight="1" x14ac:dyDescent="0.25">
      <c r="A51" t="s">
        <v>351</v>
      </c>
      <c r="B51" t="s">
        <v>351</v>
      </c>
      <c r="C51">
        <v>0</v>
      </c>
      <c r="D51" t="s">
        <v>82</v>
      </c>
      <c r="E51" t="s">
        <v>83</v>
      </c>
      <c r="F51" t="s">
        <v>36</v>
      </c>
      <c r="G51" t="s">
        <v>46</v>
      </c>
      <c r="H51">
        <v>10</v>
      </c>
      <c r="I51">
        <v>0</v>
      </c>
      <c r="J51" t="s">
        <v>352</v>
      </c>
      <c r="K51">
        <v>4</v>
      </c>
      <c r="L51" t="s">
        <v>85</v>
      </c>
      <c r="M51">
        <v>30</v>
      </c>
      <c r="N51">
        <v>10</v>
      </c>
      <c r="O51">
        <v>10</v>
      </c>
      <c r="P51">
        <v>10</v>
      </c>
      <c r="Q51">
        <v>10</v>
      </c>
      <c r="R51">
        <v>10</v>
      </c>
      <c r="S51">
        <v>10</v>
      </c>
      <c r="T51">
        <v>0</v>
      </c>
      <c r="U51">
        <v>0</v>
      </c>
      <c r="V51">
        <v>0</v>
      </c>
      <c r="W51">
        <v>0</v>
      </c>
      <c r="X51">
        <v>0</v>
      </c>
      <c r="Y51">
        <v>0</v>
      </c>
      <c r="Z51" t="s">
        <v>36</v>
      </c>
      <c r="AA51" t="s">
        <v>36</v>
      </c>
      <c r="AB51" t="s">
        <v>36</v>
      </c>
      <c r="AC51" t="s">
        <v>36</v>
      </c>
      <c r="AD51" t="s">
        <v>353</v>
      </c>
      <c r="AE51" t="s">
        <v>99</v>
      </c>
      <c r="AF51" t="s">
        <v>170</v>
      </c>
      <c r="AG51" s="1" t="s">
        <v>1510</v>
      </c>
    </row>
    <row r="52" spans="1:33" ht="15" customHeight="1" x14ac:dyDescent="0.25">
      <c r="A52" t="s">
        <v>355</v>
      </c>
      <c r="B52" t="s">
        <v>356</v>
      </c>
      <c r="C52">
        <v>1</v>
      </c>
      <c r="D52" t="s">
        <v>56</v>
      </c>
      <c r="E52" t="s">
        <v>174</v>
      </c>
      <c r="F52" t="s">
        <v>247</v>
      </c>
      <c r="G52" t="s">
        <v>248</v>
      </c>
      <c r="H52">
        <v>16</v>
      </c>
      <c r="I52">
        <v>3</v>
      </c>
      <c r="J52" t="s">
        <v>209</v>
      </c>
      <c r="K52">
        <v>22</v>
      </c>
      <c r="L52" t="s">
        <v>357</v>
      </c>
      <c r="M52">
        <v>30</v>
      </c>
      <c r="N52">
        <v>15</v>
      </c>
      <c r="O52">
        <v>12</v>
      </c>
      <c r="P52">
        <v>13</v>
      </c>
      <c r="Q52">
        <v>14</v>
      </c>
      <c r="R52">
        <v>11</v>
      </c>
      <c r="S52">
        <v>13</v>
      </c>
      <c r="T52">
        <v>2</v>
      </c>
      <c r="U52">
        <v>3</v>
      </c>
      <c r="V52">
        <v>1</v>
      </c>
      <c r="W52">
        <v>2</v>
      </c>
      <c r="X52">
        <v>2</v>
      </c>
      <c r="Y52">
        <v>1</v>
      </c>
      <c r="Z52" t="s">
        <v>358</v>
      </c>
      <c r="AA52" t="s">
        <v>36</v>
      </c>
      <c r="AB52" t="s">
        <v>36</v>
      </c>
      <c r="AC52" t="s">
        <v>178</v>
      </c>
      <c r="AD52" t="s">
        <v>36</v>
      </c>
      <c r="AE52" t="s">
        <v>179</v>
      </c>
      <c r="AF52" t="s">
        <v>165</v>
      </c>
      <c r="AG52" s="1" t="s">
        <v>1511</v>
      </c>
    </row>
    <row r="53" spans="1:33" ht="15" customHeight="1" x14ac:dyDescent="0.25">
      <c r="A53" t="s">
        <v>360</v>
      </c>
      <c r="B53" t="s">
        <v>356</v>
      </c>
      <c r="C53">
        <v>7</v>
      </c>
      <c r="D53" t="s">
        <v>34</v>
      </c>
      <c r="E53" t="s">
        <v>174</v>
      </c>
      <c r="F53" t="s">
        <v>247</v>
      </c>
      <c r="G53" t="s">
        <v>248</v>
      </c>
      <c r="H53">
        <v>17</v>
      </c>
      <c r="I53">
        <v>4</v>
      </c>
      <c r="J53" t="s">
        <v>361</v>
      </c>
      <c r="K53">
        <v>119</v>
      </c>
      <c r="L53" t="s">
        <v>362</v>
      </c>
      <c r="M53">
        <v>40</v>
      </c>
      <c r="N53">
        <v>19</v>
      </c>
      <c r="O53">
        <v>12</v>
      </c>
      <c r="P53">
        <v>17</v>
      </c>
      <c r="Q53">
        <v>16</v>
      </c>
      <c r="R53">
        <v>13</v>
      </c>
      <c r="S53">
        <v>15</v>
      </c>
      <c r="T53">
        <v>4</v>
      </c>
      <c r="U53">
        <v>4</v>
      </c>
      <c r="V53">
        <v>3</v>
      </c>
      <c r="W53">
        <v>3</v>
      </c>
      <c r="X53">
        <v>4</v>
      </c>
      <c r="Y53">
        <v>2</v>
      </c>
      <c r="Z53" t="s">
        <v>363</v>
      </c>
      <c r="AA53" t="s">
        <v>36</v>
      </c>
      <c r="AB53" t="s">
        <v>36</v>
      </c>
      <c r="AC53" t="s">
        <v>178</v>
      </c>
      <c r="AD53" t="s">
        <v>36</v>
      </c>
      <c r="AE53" t="s">
        <v>269</v>
      </c>
      <c r="AF53" t="s">
        <v>186</v>
      </c>
      <c r="AG53" s="1" t="s">
        <v>1512</v>
      </c>
    </row>
    <row r="54" spans="1:33" ht="15" customHeight="1" x14ac:dyDescent="0.25">
      <c r="A54" t="s">
        <v>365</v>
      </c>
      <c r="B54" t="s">
        <v>356</v>
      </c>
      <c r="C54">
        <v>14</v>
      </c>
      <c r="D54" t="s">
        <v>103</v>
      </c>
      <c r="E54" t="s">
        <v>174</v>
      </c>
      <c r="F54" t="s">
        <v>247</v>
      </c>
      <c r="G54" t="s">
        <v>248</v>
      </c>
      <c r="H54">
        <v>18</v>
      </c>
      <c r="I54">
        <v>11</v>
      </c>
      <c r="J54" t="s">
        <v>366</v>
      </c>
      <c r="K54">
        <v>184</v>
      </c>
      <c r="L54" t="s">
        <v>362</v>
      </c>
      <c r="M54">
        <v>40</v>
      </c>
      <c r="N54">
        <v>23</v>
      </c>
      <c r="O54">
        <v>12</v>
      </c>
      <c r="P54">
        <v>21</v>
      </c>
      <c r="Q54">
        <v>18</v>
      </c>
      <c r="R54">
        <v>15</v>
      </c>
      <c r="S54">
        <v>18</v>
      </c>
      <c r="T54">
        <v>6</v>
      </c>
      <c r="U54">
        <v>6</v>
      </c>
      <c r="V54">
        <v>5</v>
      </c>
      <c r="W54">
        <v>4</v>
      </c>
      <c r="X54">
        <v>7</v>
      </c>
      <c r="Y54">
        <v>4</v>
      </c>
      <c r="Z54" t="s">
        <v>367</v>
      </c>
      <c r="AA54" t="s">
        <v>36</v>
      </c>
      <c r="AB54" t="s">
        <v>36</v>
      </c>
      <c r="AC54" t="s">
        <v>178</v>
      </c>
      <c r="AD54" t="s">
        <v>36</v>
      </c>
      <c r="AE54" t="s">
        <v>231</v>
      </c>
      <c r="AF54" t="s">
        <v>186</v>
      </c>
      <c r="AG54" s="1" t="s">
        <v>1513</v>
      </c>
    </row>
    <row r="55" spans="1:33" ht="15" customHeight="1" x14ac:dyDescent="0.25">
      <c r="A55" t="s">
        <v>369</v>
      </c>
      <c r="B55" t="s">
        <v>356</v>
      </c>
      <c r="C55">
        <v>21</v>
      </c>
      <c r="D55" t="s">
        <v>194</v>
      </c>
      <c r="E55" t="s">
        <v>174</v>
      </c>
      <c r="F55" t="s">
        <v>247</v>
      </c>
      <c r="G55" t="s">
        <v>248</v>
      </c>
      <c r="H55">
        <v>21</v>
      </c>
      <c r="I55">
        <v>15</v>
      </c>
      <c r="J55" t="s">
        <v>195</v>
      </c>
      <c r="K55">
        <v>367</v>
      </c>
      <c r="L55" t="s">
        <v>362</v>
      </c>
      <c r="M55">
        <v>40</v>
      </c>
      <c r="N55">
        <v>27</v>
      </c>
      <c r="O55">
        <v>12</v>
      </c>
      <c r="P55">
        <v>25</v>
      </c>
      <c r="Q55">
        <v>20</v>
      </c>
      <c r="R55">
        <v>17</v>
      </c>
      <c r="S55">
        <v>22</v>
      </c>
      <c r="T55">
        <v>8</v>
      </c>
      <c r="U55">
        <v>8</v>
      </c>
      <c r="V55">
        <v>7</v>
      </c>
      <c r="W55">
        <v>5</v>
      </c>
      <c r="X55">
        <v>10</v>
      </c>
      <c r="Y55">
        <v>6</v>
      </c>
      <c r="Z55" t="s">
        <v>370</v>
      </c>
      <c r="AA55" t="s">
        <v>36</v>
      </c>
      <c r="AB55" t="s">
        <v>36</v>
      </c>
      <c r="AC55" t="s">
        <v>178</v>
      </c>
      <c r="AD55" t="s">
        <v>36</v>
      </c>
      <c r="AE55" t="s">
        <v>237</v>
      </c>
      <c r="AF55" t="s">
        <v>186</v>
      </c>
      <c r="AG55" s="1" t="s">
        <v>1514</v>
      </c>
    </row>
    <row r="56" spans="1:33" ht="15" customHeight="1" x14ac:dyDescent="0.25">
      <c r="A56" t="s">
        <v>372</v>
      </c>
      <c r="B56" t="s">
        <v>372</v>
      </c>
      <c r="C56">
        <v>4</v>
      </c>
      <c r="D56" t="s">
        <v>56</v>
      </c>
      <c r="E56" t="s">
        <v>373</v>
      </c>
      <c r="F56" t="s">
        <v>36</v>
      </c>
      <c r="G56" t="s">
        <v>208</v>
      </c>
      <c r="H56">
        <v>19</v>
      </c>
      <c r="I56">
        <v>5</v>
      </c>
      <c r="J56" t="s">
        <v>374</v>
      </c>
      <c r="K56">
        <v>60</v>
      </c>
      <c r="L56" t="s">
        <v>375</v>
      </c>
      <c r="M56">
        <v>30</v>
      </c>
      <c r="N56">
        <v>16</v>
      </c>
      <c r="O56">
        <v>20</v>
      </c>
      <c r="P56">
        <v>17</v>
      </c>
      <c r="Q56">
        <v>18</v>
      </c>
      <c r="R56">
        <v>20</v>
      </c>
      <c r="S56">
        <v>18</v>
      </c>
      <c r="T56">
        <v>3</v>
      </c>
      <c r="U56">
        <v>5</v>
      </c>
      <c r="V56">
        <v>5</v>
      </c>
      <c r="W56">
        <v>4</v>
      </c>
      <c r="X56">
        <v>7</v>
      </c>
      <c r="Y56">
        <v>4</v>
      </c>
      <c r="Z56" t="s">
        <v>36</v>
      </c>
      <c r="AA56" t="s">
        <v>326</v>
      </c>
      <c r="AB56" t="s">
        <v>36</v>
      </c>
      <c r="AC56" t="s">
        <v>376</v>
      </c>
      <c r="AD56" t="s">
        <v>36</v>
      </c>
      <c r="AE56" t="s">
        <v>377</v>
      </c>
      <c r="AF56" t="s">
        <v>378</v>
      </c>
      <c r="AG56" s="1" t="s">
        <v>1515</v>
      </c>
    </row>
    <row r="57" spans="1:33" ht="15" customHeight="1" x14ac:dyDescent="0.25">
      <c r="A57" t="s">
        <v>380</v>
      </c>
      <c r="B57" t="s">
        <v>381</v>
      </c>
      <c r="C57">
        <v>3</v>
      </c>
      <c r="D57" t="s">
        <v>56</v>
      </c>
      <c r="E57" t="s">
        <v>382</v>
      </c>
      <c r="F57" t="s">
        <v>36</v>
      </c>
      <c r="G57" t="s">
        <v>159</v>
      </c>
      <c r="H57">
        <v>12</v>
      </c>
      <c r="I57">
        <v>2</v>
      </c>
      <c r="J57" t="s">
        <v>383</v>
      </c>
      <c r="K57">
        <v>49</v>
      </c>
      <c r="L57" t="s">
        <v>144</v>
      </c>
      <c r="M57">
        <v>30</v>
      </c>
      <c r="N57">
        <v>14</v>
      </c>
      <c r="O57">
        <v>14</v>
      </c>
      <c r="P57">
        <v>11</v>
      </c>
      <c r="Q57">
        <v>5</v>
      </c>
      <c r="R57">
        <v>10</v>
      </c>
      <c r="S57">
        <v>4</v>
      </c>
      <c r="T57">
        <v>2</v>
      </c>
      <c r="U57">
        <v>2</v>
      </c>
      <c r="V57">
        <v>0</v>
      </c>
      <c r="W57">
        <v>-3</v>
      </c>
      <c r="X57">
        <v>0</v>
      </c>
      <c r="Y57">
        <v>-3</v>
      </c>
      <c r="Z57" t="s">
        <v>36</v>
      </c>
      <c r="AA57" t="s">
        <v>326</v>
      </c>
      <c r="AB57" t="s">
        <v>36</v>
      </c>
      <c r="AC57" t="s">
        <v>384</v>
      </c>
      <c r="AD57" t="s">
        <v>36</v>
      </c>
      <c r="AE57" t="s">
        <v>385</v>
      </c>
      <c r="AF57" t="s">
        <v>1516</v>
      </c>
      <c r="AG57" s="1" t="s">
        <v>1517</v>
      </c>
    </row>
    <row r="58" spans="1:33" ht="15" customHeight="1" x14ac:dyDescent="0.25">
      <c r="A58" t="s">
        <v>388</v>
      </c>
      <c r="B58" t="s">
        <v>389</v>
      </c>
      <c r="C58">
        <v>0.125</v>
      </c>
      <c r="D58" t="s">
        <v>82</v>
      </c>
      <c r="E58" t="s">
        <v>83</v>
      </c>
      <c r="F58" t="s">
        <v>36</v>
      </c>
      <c r="G58" t="s">
        <v>46</v>
      </c>
      <c r="H58">
        <v>12</v>
      </c>
      <c r="I58">
        <v>1</v>
      </c>
      <c r="J58" t="s">
        <v>390</v>
      </c>
      <c r="K58">
        <v>9</v>
      </c>
      <c r="L58" t="s">
        <v>85</v>
      </c>
      <c r="M58">
        <v>30</v>
      </c>
      <c r="N58">
        <v>11</v>
      </c>
      <c r="O58">
        <v>12</v>
      </c>
      <c r="P58">
        <v>10</v>
      </c>
      <c r="Q58">
        <v>10</v>
      </c>
      <c r="R58">
        <v>11</v>
      </c>
      <c r="S58">
        <v>10</v>
      </c>
      <c r="T58">
        <v>0</v>
      </c>
      <c r="U58">
        <v>1</v>
      </c>
      <c r="V58">
        <v>0</v>
      </c>
      <c r="W58">
        <v>0</v>
      </c>
      <c r="X58">
        <v>2</v>
      </c>
      <c r="Y58">
        <v>0</v>
      </c>
      <c r="Z58" t="s">
        <v>391</v>
      </c>
      <c r="AA58" t="s">
        <v>36</v>
      </c>
      <c r="AB58" t="s">
        <v>36</v>
      </c>
      <c r="AC58" t="s">
        <v>36</v>
      </c>
      <c r="AD58" t="s">
        <v>392</v>
      </c>
      <c r="AE58" t="s">
        <v>99</v>
      </c>
      <c r="AF58" t="s">
        <v>170</v>
      </c>
      <c r="AG58" s="1" t="s">
        <v>393</v>
      </c>
    </row>
    <row r="59" spans="1:33" ht="15" customHeight="1" x14ac:dyDescent="0.25">
      <c r="A59" t="s">
        <v>394</v>
      </c>
      <c r="B59" t="s">
        <v>389</v>
      </c>
      <c r="C59">
        <v>2</v>
      </c>
      <c r="D59" t="s">
        <v>82</v>
      </c>
      <c r="E59" t="s">
        <v>83</v>
      </c>
      <c r="F59" t="s">
        <v>36</v>
      </c>
      <c r="G59" t="s">
        <v>46</v>
      </c>
      <c r="H59">
        <v>13</v>
      </c>
      <c r="I59">
        <v>2</v>
      </c>
      <c r="J59" t="s">
        <v>395</v>
      </c>
      <c r="K59">
        <v>44</v>
      </c>
      <c r="L59" t="s">
        <v>85</v>
      </c>
      <c r="M59">
        <v>30</v>
      </c>
      <c r="N59">
        <v>11</v>
      </c>
      <c r="O59">
        <v>14</v>
      </c>
      <c r="P59">
        <v>12</v>
      </c>
      <c r="Q59">
        <v>10</v>
      </c>
      <c r="R59">
        <v>14</v>
      </c>
      <c r="S59">
        <v>13</v>
      </c>
      <c r="T59">
        <v>0</v>
      </c>
      <c r="U59">
        <v>2</v>
      </c>
      <c r="V59">
        <v>1</v>
      </c>
      <c r="W59">
        <v>0</v>
      </c>
      <c r="X59">
        <v>4</v>
      </c>
      <c r="Y59">
        <v>1</v>
      </c>
      <c r="Z59" t="s">
        <v>396</v>
      </c>
      <c r="AA59" t="s">
        <v>36</v>
      </c>
      <c r="AB59" t="s">
        <v>36</v>
      </c>
      <c r="AC59" t="s">
        <v>36</v>
      </c>
      <c r="AD59" t="s">
        <v>397</v>
      </c>
      <c r="AE59" t="s">
        <v>398</v>
      </c>
      <c r="AF59" t="s">
        <v>170</v>
      </c>
      <c r="AG59" s="1" t="s">
        <v>399</v>
      </c>
    </row>
    <row r="60" spans="1:33" ht="15" customHeight="1" x14ac:dyDescent="0.25">
      <c r="A60" t="s">
        <v>400</v>
      </c>
      <c r="B60" t="s">
        <v>400</v>
      </c>
      <c r="C60">
        <v>0.5</v>
      </c>
      <c r="D60" t="s">
        <v>66</v>
      </c>
      <c r="E60" t="s">
        <v>35</v>
      </c>
      <c r="F60" t="s">
        <v>36</v>
      </c>
      <c r="G60" t="s">
        <v>58</v>
      </c>
      <c r="H60">
        <v>11</v>
      </c>
      <c r="I60">
        <v>3</v>
      </c>
      <c r="J60" t="s">
        <v>347</v>
      </c>
      <c r="K60">
        <v>22</v>
      </c>
      <c r="L60" t="s">
        <v>401</v>
      </c>
      <c r="M60">
        <v>10</v>
      </c>
      <c r="N60">
        <v>16</v>
      </c>
      <c r="O60">
        <v>12</v>
      </c>
      <c r="P60">
        <v>13</v>
      </c>
      <c r="Q60">
        <v>2</v>
      </c>
      <c r="R60">
        <v>10</v>
      </c>
      <c r="S60">
        <v>5</v>
      </c>
      <c r="T60">
        <v>3</v>
      </c>
      <c r="U60">
        <v>1</v>
      </c>
      <c r="V60">
        <v>1</v>
      </c>
      <c r="W60">
        <v>-4</v>
      </c>
      <c r="X60">
        <v>0</v>
      </c>
      <c r="Y60">
        <v>-3</v>
      </c>
      <c r="Z60" t="s">
        <v>402</v>
      </c>
      <c r="AA60" t="s">
        <v>36</v>
      </c>
      <c r="AB60" t="s">
        <v>36</v>
      </c>
      <c r="AC60" t="s">
        <v>36</v>
      </c>
      <c r="AD60" t="s">
        <v>36</v>
      </c>
      <c r="AE60" t="s">
        <v>403</v>
      </c>
      <c r="AF60" t="s">
        <v>63</v>
      </c>
      <c r="AG60" s="1" t="s">
        <v>1518</v>
      </c>
    </row>
    <row r="61" spans="1:33" ht="15" customHeight="1" x14ac:dyDescent="0.25">
      <c r="A61" t="s">
        <v>405</v>
      </c>
      <c r="B61" t="s">
        <v>405</v>
      </c>
      <c r="C61">
        <v>1</v>
      </c>
      <c r="D61" t="s">
        <v>56</v>
      </c>
      <c r="E61" t="s">
        <v>76</v>
      </c>
      <c r="F61" t="s">
        <v>36</v>
      </c>
      <c r="G61" t="s">
        <v>159</v>
      </c>
      <c r="H61">
        <v>12</v>
      </c>
      <c r="I61">
        <v>2</v>
      </c>
      <c r="J61" t="s">
        <v>114</v>
      </c>
      <c r="K61">
        <v>39</v>
      </c>
      <c r="L61" t="s">
        <v>210</v>
      </c>
      <c r="M61">
        <v>40</v>
      </c>
      <c r="N61">
        <v>15</v>
      </c>
      <c r="O61">
        <v>14</v>
      </c>
      <c r="P61">
        <v>14</v>
      </c>
      <c r="Q61">
        <v>3</v>
      </c>
      <c r="R61">
        <v>13</v>
      </c>
      <c r="S61">
        <v>6</v>
      </c>
      <c r="T61">
        <v>2</v>
      </c>
      <c r="U61">
        <v>2</v>
      </c>
      <c r="V61">
        <v>2</v>
      </c>
      <c r="W61">
        <v>-4</v>
      </c>
      <c r="X61">
        <v>1</v>
      </c>
      <c r="Y61">
        <v>-2</v>
      </c>
      <c r="Z61" t="s">
        <v>406</v>
      </c>
      <c r="AA61" t="s">
        <v>36</v>
      </c>
      <c r="AB61" t="s">
        <v>36</v>
      </c>
      <c r="AC61" t="s">
        <v>407</v>
      </c>
      <c r="AD61" t="s">
        <v>36</v>
      </c>
      <c r="AE61" t="s">
        <v>408</v>
      </c>
      <c r="AF61" t="s">
        <v>63</v>
      </c>
      <c r="AG61" s="1" t="s">
        <v>1519</v>
      </c>
    </row>
    <row r="62" spans="1:33" ht="15" customHeight="1" x14ac:dyDescent="0.25">
      <c r="A62" t="s">
        <v>410</v>
      </c>
      <c r="B62" t="s">
        <v>410</v>
      </c>
      <c r="C62">
        <v>10</v>
      </c>
      <c r="D62" t="s">
        <v>56</v>
      </c>
      <c r="E62" t="s">
        <v>373</v>
      </c>
      <c r="F62" t="s">
        <v>411</v>
      </c>
      <c r="G62" t="s">
        <v>208</v>
      </c>
      <c r="H62">
        <v>17</v>
      </c>
      <c r="I62">
        <v>4</v>
      </c>
      <c r="J62" t="s">
        <v>412</v>
      </c>
      <c r="K62">
        <v>229</v>
      </c>
      <c r="L62" t="s">
        <v>413</v>
      </c>
      <c r="M62">
        <v>30</v>
      </c>
      <c r="N62">
        <v>18</v>
      </c>
      <c r="O62">
        <v>18</v>
      </c>
      <c r="P62">
        <v>18</v>
      </c>
      <c r="Q62">
        <v>17</v>
      </c>
      <c r="R62">
        <v>20</v>
      </c>
      <c r="S62">
        <v>20</v>
      </c>
      <c r="T62">
        <v>4</v>
      </c>
      <c r="U62">
        <v>4</v>
      </c>
      <c r="V62">
        <v>4</v>
      </c>
      <c r="W62">
        <v>3</v>
      </c>
      <c r="X62">
        <v>9</v>
      </c>
      <c r="Y62">
        <v>9</v>
      </c>
      <c r="Z62" t="s">
        <v>414</v>
      </c>
      <c r="AA62" t="s">
        <v>415</v>
      </c>
      <c r="AB62" t="s">
        <v>36</v>
      </c>
      <c r="AC62" t="s">
        <v>416</v>
      </c>
      <c r="AD62" t="s">
        <v>36</v>
      </c>
      <c r="AE62" t="s">
        <v>417</v>
      </c>
      <c r="AF62" t="s">
        <v>378</v>
      </c>
      <c r="AG62" s="1" t="s">
        <v>418</v>
      </c>
    </row>
    <row r="63" spans="1:33" ht="15" customHeight="1" x14ac:dyDescent="0.25">
      <c r="A63" t="s">
        <v>419</v>
      </c>
      <c r="B63" t="s">
        <v>419</v>
      </c>
      <c r="C63">
        <v>11</v>
      </c>
      <c r="D63" t="s">
        <v>34</v>
      </c>
      <c r="E63" t="s">
        <v>45</v>
      </c>
      <c r="F63" t="s">
        <v>420</v>
      </c>
      <c r="G63" t="s">
        <v>46</v>
      </c>
      <c r="H63">
        <v>17</v>
      </c>
      <c r="I63">
        <v>2</v>
      </c>
      <c r="J63" t="s">
        <v>421</v>
      </c>
      <c r="K63">
        <v>218</v>
      </c>
      <c r="L63" t="s">
        <v>413</v>
      </c>
      <c r="M63">
        <v>30</v>
      </c>
      <c r="N63">
        <v>21</v>
      </c>
      <c r="O63">
        <v>15</v>
      </c>
      <c r="P63">
        <v>22</v>
      </c>
      <c r="Q63">
        <v>15</v>
      </c>
      <c r="R63">
        <v>16</v>
      </c>
      <c r="S63">
        <v>20</v>
      </c>
      <c r="T63">
        <v>5</v>
      </c>
      <c r="U63">
        <v>6</v>
      </c>
      <c r="V63">
        <v>6</v>
      </c>
      <c r="W63">
        <v>2</v>
      </c>
      <c r="X63">
        <v>7</v>
      </c>
      <c r="Y63">
        <v>5</v>
      </c>
      <c r="Z63" t="s">
        <v>36</v>
      </c>
      <c r="AA63" t="s">
        <v>36</v>
      </c>
      <c r="AB63" t="s">
        <v>36</v>
      </c>
      <c r="AC63" t="s">
        <v>422</v>
      </c>
      <c r="AD63" t="s">
        <v>36</v>
      </c>
      <c r="AE63" t="s">
        <v>423</v>
      </c>
      <c r="AF63" t="s">
        <v>52</v>
      </c>
      <c r="AG63" s="1" t="s">
        <v>1520</v>
      </c>
    </row>
    <row r="64" spans="1:33" ht="15" customHeight="1" x14ac:dyDescent="0.25">
      <c r="A64" t="s">
        <v>425</v>
      </c>
      <c r="B64" t="s">
        <v>425</v>
      </c>
      <c r="C64">
        <v>3</v>
      </c>
      <c r="D64" t="s">
        <v>56</v>
      </c>
      <c r="E64" t="s">
        <v>76</v>
      </c>
      <c r="F64" t="s">
        <v>36</v>
      </c>
      <c r="G64" t="s">
        <v>46</v>
      </c>
      <c r="H64">
        <v>14</v>
      </c>
      <c r="I64">
        <v>4</v>
      </c>
      <c r="J64" t="s">
        <v>137</v>
      </c>
      <c r="K64">
        <v>52</v>
      </c>
      <c r="L64" t="s">
        <v>85</v>
      </c>
      <c r="M64">
        <v>30</v>
      </c>
      <c r="N64">
        <v>11</v>
      </c>
      <c r="O64">
        <v>18</v>
      </c>
      <c r="P64">
        <v>14</v>
      </c>
      <c r="Q64">
        <v>11</v>
      </c>
      <c r="R64">
        <v>12</v>
      </c>
      <c r="S64">
        <v>14</v>
      </c>
      <c r="T64">
        <v>0</v>
      </c>
      <c r="U64">
        <v>4</v>
      </c>
      <c r="V64">
        <v>2</v>
      </c>
      <c r="W64">
        <v>0</v>
      </c>
      <c r="X64">
        <v>1</v>
      </c>
      <c r="Y64">
        <v>2</v>
      </c>
      <c r="Z64" t="s">
        <v>426</v>
      </c>
      <c r="AA64" t="s">
        <v>36</v>
      </c>
      <c r="AB64" t="s">
        <v>36</v>
      </c>
      <c r="AC64" t="s">
        <v>427</v>
      </c>
      <c r="AD64" t="s">
        <v>36</v>
      </c>
      <c r="AE64" t="s">
        <v>283</v>
      </c>
      <c r="AF64" t="s">
        <v>428</v>
      </c>
      <c r="AG64" s="1" t="s">
        <v>1521</v>
      </c>
    </row>
    <row r="65" spans="1:33" ht="15" customHeight="1" x14ac:dyDescent="0.25">
      <c r="A65" t="s">
        <v>430</v>
      </c>
      <c r="B65" t="s">
        <v>430</v>
      </c>
      <c r="C65">
        <v>17</v>
      </c>
      <c r="D65" t="s">
        <v>194</v>
      </c>
      <c r="E65" t="s">
        <v>174</v>
      </c>
      <c r="F65" t="s">
        <v>36</v>
      </c>
      <c r="G65" t="s">
        <v>46</v>
      </c>
      <c r="H65">
        <v>20</v>
      </c>
      <c r="I65">
        <v>6</v>
      </c>
      <c r="J65" t="s">
        <v>431</v>
      </c>
      <c r="K65">
        <v>356</v>
      </c>
      <c r="L65" t="s">
        <v>432</v>
      </c>
      <c r="M65">
        <v>20</v>
      </c>
      <c r="N65">
        <v>25</v>
      </c>
      <c r="O65">
        <v>10</v>
      </c>
      <c r="P65">
        <v>20</v>
      </c>
      <c r="Q65">
        <v>10</v>
      </c>
      <c r="R65">
        <v>12</v>
      </c>
      <c r="S65">
        <v>12</v>
      </c>
      <c r="T65">
        <v>7</v>
      </c>
      <c r="U65">
        <v>0</v>
      </c>
      <c r="V65">
        <v>11</v>
      </c>
      <c r="W65">
        <v>0</v>
      </c>
      <c r="X65">
        <v>7</v>
      </c>
      <c r="Y65">
        <v>1</v>
      </c>
      <c r="Z65" t="s">
        <v>36</v>
      </c>
      <c r="AA65" t="s">
        <v>98</v>
      </c>
      <c r="AB65" t="s">
        <v>36</v>
      </c>
      <c r="AC65" t="s">
        <v>36</v>
      </c>
      <c r="AD65" t="s">
        <v>36</v>
      </c>
      <c r="AE65" t="s">
        <v>433</v>
      </c>
      <c r="AF65" t="s">
        <v>434</v>
      </c>
      <c r="AG65" s="1" t="s">
        <v>1522</v>
      </c>
    </row>
    <row r="66" spans="1:33" ht="15" customHeight="1" x14ac:dyDescent="0.25">
      <c r="A66" t="s">
        <v>436</v>
      </c>
      <c r="B66" t="s">
        <v>436</v>
      </c>
      <c r="C66">
        <v>0.25</v>
      </c>
      <c r="D66" t="s">
        <v>66</v>
      </c>
      <c r="E66" t="s">
        <v>120</v>
      </c>
      <c r="F66" t="s">
        <v>121</v>
      </c>
      <c r="G66" t="s">
        <v>122</v>
      </c>
      <c r="H66">
        <v>11</v>
      </c>
      <c r="I66">
        <v>0</v>
      </c>
      <c r="J66" t="s">
        <v>437</v>
      </c>
      <c r="K66">
        <v>18</v>
      </c>
      <c r="L66" t="s">
        <v>96</v>
      </c>
      <c r="M66">
        <v>20</v>
      </c>
      <c r="N66">
        <v>12</v>
      </c>
      <c r="O66">
        <v>11</v>
      </c>
      <c r="P66">
        <v>12</v>
      </c>
      <c r="Q66">
        <v>5</v>
      </c>
      <c r="R66">
        <v>8</v>
      </c>
      <c r="S66">
        <v>3</v>
      </c>
      <c r="T66">
        <v>1</v>
      </c>
      <c r="U66">
        <v>0</v>
      </c>
      <c r="V66">
        <v>1</v>
      </c>
      <c r="W66">
        <v>-3</v>
      </c>
      <c r="X66">
        <v>-1</v>
      </c>
      <c r="Y66">
        <v>-4</v>
      </c>
      <c r="Z66" t="s">
        <v>36</v>
      </c>
      <c r="AA66" t="s">
        <v>438</v>
      </c>
      <c r="AB66" t="s">
        <v>36</v>
      </c>
      <c r="AC66" t="s">
        <v>320</v>
      </c>
      <c r="AD66" t="s">
        <v>36</v>
      </c>
      <c r="AE66" t="s">
        <v>151</v>
      </c>
      <c r="AF66" t="s">
        <v>439</v>
      </c>
      <c r="AG66" s="1" t="s">
        <v>1523</v>
      </c>
    </row>
    <row r="67" spans="1:33" ht="15" customHeight="1" x14ac:dyDescent="0.25">
      <c r="A67" t="s">
        <v>441</v>
      </c>
      <c r="B67" t="s">
        <v>441</v>
      </c>
      <c r="C67">
        <v>6</v>
      </c>
      <c r="D67" t="s">
        <v>34</v>
      </c>
      <c r="E67" t="s">
        <v>76</v>
      </c>
      <c r="F67" t="s">
        <v>36</v>
      </c>
      <c r="G67" t="s">
        <v>122</v>
      </c>
      <c r="H67">
        <v>19</v>
      </c>
      <c r="I67">
        <v>4</v>
      </c>
      <c r="J67" t="s">
        <v>325</v>
      </c>
      <c r="K67">
        <v>123</v>
      </c>
      <c r="L67" t="s">
        <v>144</v>
      </c>
      <c r="M67">
        <v>30</v>
      </c>
      <c r="N67">
        <v>16</v>
      </c>
      <c r="O67">
        <v>19</v>
      </c>
      <c r="P67">
        <v>18</v>
      </c>
      <c r="Q67">
        <v>13</v>
      </c>
      <c r="R67">
        <v>16</v>
      </c>
      <c r="S67">
        <v>12</v>
      </c>
      <c r="T67">
        <v>3</v>
      </c>
      <c r="U67">
        <v>4</v>
      </c>
      <c r="V67">
        <v>4</v>
      </c>
      <c r="W67">
        <v>1</v>
      </c>
      <c r="X67">
        <v>3</v>
      </c>
      <c r="Y67">
        <v>1</v>
      </c>
      <c r="Z67" t="s">
        <v>442</v>
      </c>
      <c r="AA67" t="s">
        <v>36</v>
      </c>
      <c r="AB67" t="s">
        <v>36</v>
      </c>
      <c r="AC67" t="s">
        <v>36</v>
      </c>
      <c r="AD67" t="s">
        <v>36</v>
      </c>
      <c r="AE67" t="s">
        <v>443</v>
      </c>
      <c r="AF67" t="s">
        <v>444</v>
      </c>
      <c r="AG67" s="1" t="s">
        <v>445</v>
      </c>
    </row>
    <row r="68" spans="1:33" ht="15" customHeight="1" x14ac:dyDescent="0.25">
      <c r="A68" t="s">
        <v>446</v>
      </c>
      <c r="B68" t="s">
        <v>446</v>
      </c>
      <c r="C68">
        <v>2</v>
      </c>
      <c r="D68" t="s">
        <v>82</v>
      </c>
      <c r="E68" t="s">
        <v>83</v>
      </c>
      <c r="F68" t="s">
        <v>446</v>
      </c>
      <c r="G68" t="s">
        <v>46</v>
      </c>
      <c r="H68">
        <v>13</v>
      </c>
      <c r="I68">
        <v>1</v>
      </c>
      <c r="J68" t="s">
        <v>395</v>
      </c>
      <c r="K68">
        <v>44</v>
      </c>
      <c r="L68" t="s">
        <v>85</v>
      </c>
      <c r="M68">
        <v>30</v>
      </c>
      <c r="N68">
        <v>10</v>
      </c>
      <c r="O68">
        <v>12</v>
      </c>
      <c r="P68">
        <v>13</v>
      </c>
      <c r="Q68">
        <v>12</v>
      </c>
      <c r="R68">
        <v>16</v>
      </c>
      <c r="S68">
        <v>11</v>
      </c>
      <c r="T68">
        <v>0</v>
      </c>
      <c r="U68">
        <v>1</v>
      </c>
      <c r="V68">
        <v>1</v>
      </c>
      <c r="W68">
        <v>1</v>
      </c>
      <c r="X68">
        <v>3</v>
      </c>
      <c r="Y68">
        <v>0</v>
      </c>
      <c r="Z68" t="s">
        <v>447</v>
      </c>
      <c r="AA68" t="s">
        <v>36</v>
      </c>
      <c r="AB68" t="s">
        <v>36</v>
      </c>
      <c r="AC68" t="s">
        <v>36</v>
      </c>
      <c r="AD68" t="s">
        <v>448</v>
      </c>
      <c r="AE68" t="s">
        <v>449</v>
      </c>
      <c r="AF68" t="s">
        <v>450</v>
      </c>
      <c r="AG68" s="1" t="s">
        <v>451</v>
      </c>
    </row>
    <row r="69" spans="1:33" ht="15" customHeight="1" x14ac:dyDescent="0.25">
      <c r="A69" t="s">
        <v>452</v>
      </c>
      <c r="B69" t="s">
        <v>452</v>
      </c>
      <c r="C69">
        <v>1</v>
      </c>
      <c r="D69" t="s">
        <v>56</v>
      </c>
      <c r="E69" t="s">
        <v>207</v>
      </c>
      <c r="F69" t="s">
        <v>36</v>
      </c>
      <c r="G69" t="s">
        <v>46</v>
      </c>
      <c r="H69">
        <v>16</v>
      </c>
      <c r="I69">
        <v>1</v>
      </c>
      <c r="J69" t="s">
        <v>453</v>
      </c>
      <c r="K69">
        <v>22</v>
      </c>
      <c r="L69" t="s">
        <v>85</v>
      </c>
      <c r="M69">
        <v>30</v>
      </c>
      <c r="N69">
        <v>10</v>
      </c>
      <c r="O69">
        <v>12</v>
      </c>
      <c r="P69">
        <v>11</v>
      </c>
      <c r="Q69">
        <v>14</v>
      </c>
      <c r="R69">
        <v>15</v>
      </c>
      <c r="S69">
        <v>18</v>
      </c>
      <c r="T69">
        <v>0</v>
      </c>
      <c r="U69">
        <v>1</v>
      </c>
      <c r="V69">
        <v>0</v>
      </c>
      <c r="W69">
        <v>2</v>
      </c>
      <c r="X69">
        <v>2</v>
      </c>
      <c r="Y69">
        <v>4</v>
      </c>
      <c r="Z69" t="s">
        <v>454</v>
      </c>
      <c r="AA69" t="s">
        <v>36</v>
      </c>
      <c r="AB69" t="s">
        <v>36</v>
      </c>
      <c r="AC69" t="s">
        <v>36</v>
      </c>
      <c r="AD69" t="s">
        <v>36</v>
      </c>
      <c r="AE69" t="s">
        <v>321</v>
      </c>
      <c r="AF69" t="s">
        <v>302</v>
      </c>
      <c r="AG69" s="1" t="s">
        <v>455</v>
      </c>
    </row>
    <row r="70" spans="1:33" ht="15" customHeight="1" x14ac:dyDescent="0.25">
      <c r="A70" t="s">
        <v>456</v>
      </c>
      <c r="B70" t="s">
        <v>456</v>
      </c>
      <c r="C70">
        <v>5</v>
      </c>
      <c r="D70" t="s">
        <v>34</v>
      </c>
      <c r="E70" t="s">
        <v>45</v>
      </c>
      <c r="F70" t="s">
        <v>36</v>
      </c>
      <c r="G70" t="s">
        <v>46</v>
      </c>
      <c r="H70">
        <v>17</v>
      </c>
      <c r="I70">
        <v>-1</v>
      </c>
      <c r="J70" t="s">
        <v>457</v>
      </c>
      <c r="K70">
        <v>147</v>
      </c>
      <c r="L70" t="s">
        <v>458</v>
      </c>
      <c r="M70">
        <v>30</v>
      </c>
      <c r="N70">
        <v>20</v>
      </c>
      <c r="O70">
        <v>8</v>
      </c>
      <c r="P70">
        <v>20</v>
      </c>
      <c r="Q70">
        <v>5</v>
      </c>
      <c r="R70">
        <v>10</v>
      </c>
      <c r="S70">
        <v>5</v>
      </c>
      <c r="T70">
        <v>5</v>
      </c>
      <c r="U70">
        <v>-1</v>
      </c>
      <c r="V70">
        <v>5</v>
      </c>
      <c r="W70">
        <v>-3</v>
      </c>
      <c r="X70">
        <v>0</v>
      </c>
      <c r="Y70">
        <v>-3</v>
      </c>
      <c r="Z70" t="s">
        <v>36</v>
      </c>
      <c r="AA70" t="s">
        <v>36</v>
      </c>
      <c r="AB70" t="s">
        <v>459</v>
      </c>
      <c r="AC70" t="s">
        <v>460</v>
      </c>
      <c r="AD70" t="s">
        <v>36</v>
      </c>
      <c r="AE70" t="s">
        <v>461</v>
      </c>
      <c r="AF70" t="s">
        <v>462</v>
      </c>
      <c r="AG70" s="1" t="s">
        <v>1524</v>
      </c>
    </row>
    <row r="71" spans="1:33" ht="15" customHeight="1" x14ac:dyDescent="0.25">
      <c r="A71" t="s">
        <v>464</v>
      </c>
      <c r="B71" t="s">
        <v>464</v>
      </c>
      <c r="C71">
        <v>11</v>
      </c>
      <c r="D71" t="s">
        <v>34</v>
      </c>
      <c r="E71" t="s">
        <v>45</v>
      </c>
      <c r="F71" t="s">
        <v>420</v>
      </c>
      <c r="G71" t="s">
        <v>46</v>
      </c>
      <c r="H71">
        <v>17</v>
      </c>
      <c r="I71">
        <v>1</v>
      </c>
      <c r="J71" t="s">
        <v>465</v>
      </c>
      <c r="K71">
        <v>212</v>
      </c>
      <c r="L71" t="s">
        <v>466</v>
      </c>
      <c r="M71">
        <v>40</v>
      </c>
      <c r="N71">
        <v>22</v>
      </c>
      <c r="O71">
        <v>12</v>
      </c>
      <c r="P71">
        <v>24</v>
      </c>
      <c r="Q71">
        <v>16</v>
      </c>
      <c r="R71">
        <v>15</v>
      </c>
      <c r="S71">
        <v>19</v>
      </c>
      <c r="T71">
        <v>6</v>
      </c>
      <c r="U71">
        <v>1</v>
      </c>
      <c r="V71">
        <v>7</v>
      </c>
      <c r="W71">
        <v>3</v>
      </c>
      <c r="X71">
        <v>6</v>
      </c>
      <c r="Y71">
        <v>8</v>
      </c>
      <c r="Z71" t="s">
        <v>36</v>
      </c>
      <c r="AA71" t="s">
        <v>36</v>
      </c>
      <c r="AB71" t="s">
        <v>36</v>
      </c>
      <c r="AC71" t="s">
        <v>98</v>
      </c>
      <c r="AD71" t="s">
        <v>36</v>
      </c>
      <c r="AE71" t="s">
        <v>335</v>
      </c>
      <c r="AF71" t="s">
        <v>117</v>
      </c>
      <c r="AG71" s="1" t="s">
        <v>1525</v>
      </c>
    </row>
    <row r="72" spans="1:33" ht="15" customHeight="1" x14ac:dyDescent="0.25">
      <c r="A72" t="s">
        <v>468</v>
      </c>
      <c r="B72" t="s">
        <v>468</v>
      </c>
      <c r="C72">
        <v>12</v>
      </c>
      <c r="D72" t="s">
        <v>56</v>
      </c>
      <c r="E72" t="s">
        <v>120</v>
      </c>
      <c r="F72" t="s">
        <v>142</v>
      </c>
      <c r="G72" t="s">
        <v>37</v>
      </c>
      <c r="H72">
        <v>18</v>
      </c>
      <c r="I72">
        <v>7</v>
      </c>
      <c r="J72" t="s">
        <v>469</v>
      </c>
      <c r="K72">
        <v>178</v>
      </c>
      <c r="L72" t="s">
        <v>311</v>
      </c>
      <c r="M72">
        <v>30</v>
      </c>
      <c r="N72">
        <v>18</v>
      </c>
      <c r="O72">
        <v>16</v>
      </c>
      <c r="P72">
        <v>18</v>
      </c>
      <c r="Q72">
        <v>14</v>
      </c>
      <c r="R72">
        <v>14</v>
      </c>
      <c r="S72">
        <v>18</v>
      </c>
      <c r="T72">
        <v>4</v>
      </c>
      <c r="U72">
        <v>7</v>
      </c>
      <c r="V72">
        <v>8</v>
      </c>
      <c r="W72">
        <v>2</v>
      </c>
      <c r="X72">
        <v>2</v>
      </c>
      <c r="Y72">
        <v>8</v>
      </c>
      <c r="Z72" t="s">
        <v>470</v>
      </c>
      <c r="AA72" t="s">
        <v>146</v>
      </c>
      <c r="AB72" t="s">
        <v>36</v>
      </c>
      <c r="AC72" t="s">
        <v>115</v>
      </c>
      <c r="AD72" t="s">
        <v>36</v>
      </c>
      <c r="AE72" t="s">
        <v>471</v>
      </c>
      <c r="AF72" t="s">
        <v>148</v>
      </c>
      <c r="AG72" s="1" t="s">
        <v>472</v>
      </c>
    </row>
    <row r="73" spans="1:33" ht="15" customHeight="1" x14ac:dyDescent="0.25">
      <c r="A73" t="s">
        <v>473</v>
      </c>
      <c r="B73" t="s">
        <v>473</v>
      </c>
      <c r="C73">
        <v>2</v>
      </c>
      <c r="D73" t="s">
        <v>56</v>
      </c>
      <c r="E73" t="s">
        <v>76</v>
      </c>
      <c r="F73" t="s">
        <v>36</v>
      </c>
      <c r="G73" t="s">
        <v>159</v>
      </c>
      <c r="H73">
        <v>13</v>
      </c>
      <c r="I73">
        <v>2</v>
      </c>
      <c r="J73" t="s">
        <v>395</v>
      </c>
      <c r="K73">
        <v>44</v>
      </c>
      <c r="L73" t="s">
        <v>144</v>
      </c>
      <c r="M73">
        <v>30</v>
      </c>
      <c r="N73">
        <v>14</v>
      </c>
      <c r="O73">
        <v>15</v>
      </c>
      <c r="P73">
        <v>13</v>
      </c>
      <c r="Q73">
        <v>7</v>
      </c>
      <c r="R73">
        <v>12</v>
      </c>
      <c r="S73">
        <v>8</v>
      </c>
      <c r="T73">
        <v>2</v>
      </c>
      <c r="U73">
        <v>2</v>
      </c>
      <c r="V73">
        <v>1</v>
      </c>
      <c r="W73">
        <v>-2</v>
      </c>
      <c r="X73">
        <v>1</v>
      </c>
      <c r="Y73">
        <v>-1</v>
      </c>
      <c r="Z73" t="s">
        <v>474</v>
      </c>
      <c r="AA73" t="s">
        <v>36</v>
      </c>
      <c r="AB73" t="s">
        <v>36</v>
      </c>
      <c r="AC73" t="s">
        <v>36</v>
      </c>
      <c r="AD73" t="s">
        <v>36</v>
      </c>
      <c r="AE73" t="s">
        <v>475</v>
      </c>
      <c r="AF73" t="s">
        <v>63</v>
      </c>
      <c r="AG73" s="1" t="s">
        <v>1526</v>
      </c>
    </row>
    <row r="74" spans="1:33" ht="15" customHeight="1" x14ac:dyDescent="0.25">
      <c r="A74" t="s">
        <v>477</v>
      </c>
      <c r="B74" t="s">
        <v>477</v>
      </c>
      <c r="C74">
        <v>4</v>
      </c>
      <c r="D74" t="s">
        <v>34</v>
      </c>
      <c r="E74" t="s">
        <v>339</v>
      </c>
      <c r="F74" t="s">
        <v>36</v>
      </c>
      <c r="G74" t="s">
        <v>122</v>
      </c>
      <c r="H74">
        <v>12</v>
      </c>
      <c r="I74">
        <v>-1</v>
      </c>
      <c r="J74" t="s">
        <v>478</v>
      </c>
      <c r="K74">
        <v>85</v>
      </c>
      <c r="L74" t="s">
        <v>210</v>
      </c>
      <c r="M74">
        <v>40</v>
      </c>
      <c r="N74">
        <v>21</v>
      </c>
      <c r="O74">
        <v>8</v>
      </c>
      <c r="P74">
        <v>17</v>
      </c>
      <c r="Q74">
        <v>6</v>
      </c>
      <c r="R74">
        <v>10</v>
      </c>
      <c r="S74">
        <v>8</v>
      </c>
      <c r="T74">
        <v>5</v>
      </c>
      <c r="U74">
        <v>-1</v>
      </c>
      <c r="V74">
        <v>3</v>
      </c>
      <c r="W74">
        <v>-2</v>
      </c>
      <c r="X74">
        <v>0</v>
      </c>
      <c r="Y74">
        <v>-1</v>
      </c>
      <c r="Z74" t="s">
        <v>319</v>
      </c>
      <c r="AA74" t="s">
        <v>36</v>
      </c>
      <c r="AB74" t="s">
        <v>36</v>
      </c>
      <c r="AC74" t="s">
        <v>407</v>
      </c>
      <c r="AD74" t="s">
        <v>479</v>
      </c>
      <c r="AE74" t="s">
        <v>321</v>
      </c>
      <c r="AF74" t="s">
        <v>339</v>
      </c>
      <c r="AG74" s="1" t="s">
        <v>480</v>
      </c>
    </row>
    <row r="75" spans="1:33" ht="15" customHeight="1" x14ac:dyDescent="0.25">
      <c r="A75" t="s">
        <v>481</v>
      </c>
      <c r="B75" t="s">
        <v>481</v>
      </c>
      <c r="C75">
        <v>5</v>
      </c>
      <c r="D75" t="s">
        <v>34</v>
      </c>
      <c r="E75" t="s">
        <v>45</v>
      </c>
      <c r="F75" t="s">
        <v>36</v>
      </c>
      <c r="G75" t="s">
        <v>46</v>
      </c>
      <c r="H75">
        <v>13</v>
      </c>
      <c r="I75">
        <v>3</v>
      </c>
      <c r="J75" t="s">
        <v>482</v>
      </c>
      <c r="K75">
        <v>93</v>
      </c>
      <c r="L75" t="s">
        <v>109</v>
      </c>
      <c r="M75">
        <v>50</v>
      </c>
      <c r="N75">
        <v>10</v>
      </c>
      <c r="O75">
        <v>17</v>
      </c>
      <c r="P75">
        <v>16</v>
      </c>
      <c r="Q75">
        <v>6</v>
      </c>
      <c r="R75">
        <v>10</v>
      </c>
      <c r="S75">
        <v>7</v>
      </c>
      <c r="T75">
        <v>0</v>
      </c>
      <c r="U75">
        <v>3</v>
      </c>
      <c r="V75">
        <v>3</v>
      </c>
      <c r="W75">
        <v>-2</v>
      </c>
      <c r="X75">
        <v>0</v>
      </c>
      <c r="Y75">
        <v>-2</v>
      </c>
      <c r="Z75" t="s">
        <v>36</v>
      </c>
      <c r="AA75" t="s">
        <v>326</v>
      </c>
      <c r="AB75" t="s">
        <v>36</v>
      </c>
      <c r="AC75" t="s">
        <v>483</v>
      </c>
      <c r="AD75" t="s">
        <v>36</v>
      </c>
      <c r="AE75" t="s">
        <v>51</v>
      </c>
      <c r="AF75" t="s">
        <v>117</v>
      </c>
      <c r="AG75" s="1" t="s">
        <v>1527</v>
      </c>
    </row>
    <row r="76" spans="1:33" ht="15" customHeight="1" x14ac:dyDescent="0.25">
      <c r="A76" t="s">
        <v>485</v>
      </c>
      <c r="B76" t="s">
        <v>485</v>
      </c>
      <c r="C76">
        <v>9</v>
      </c>
      <c r="D76" t="s">
        <v>103</v>
      </c>
      <c r="E76" t="s">
        <v>339</v>
      </c>
      <c r="F76" t="s">
        <v>36</v>
      </c>
      <c r="G76" t="s">
        <v>37</v>
      </c>
      <c r="H76">
        <v>18</v>
      </c>
      <c r="I76">
        <v>3</v>
      </c>
      <c r="J76" t="s">
        <v>486</v>
      </c>
      <c r="K76">
        <v>162</v>
      </c>
      <c r="L76" t="s">
        <v>85</v>
      </c>
      <c r="M76">
        <v>30</v>
      </c>
      <c r="N76">
        <v>25</v>
      </c>
      <c r="O76">
        <v>9</v>
      </c>
      <c r="P76">
        <v>23</v>
      </c>
      <c r="Q76">
        <v>10</v>
      </c>
      <c r="R76">
        <v>14</v>
      </c>
      <c r="S76">
        <v>13</v>
      </c>
      <c r="T76">
        <v>7</v>
      </c>
      <c r="U76">
        <v>3</v>
      </c>
      <c r="V76">
        <v>10</v>
      </c>
      <c r="W76">
        <v>0</v>
      </c>
      <c r="X76">
        <v>2</v>
      </c>
      <c r="Y76">
        <v>5</v>
      </c>
      <c r="Z76" t="s">
        <v>487</v>
      </c>
      <c r="AA76" t="s">
        <v>36</v>
      </c>
      <c r="AB76" t="s">
        <v>36</v>
      </c>
      <c r="AC76" t="s">
        <v>98</v>
      </c>
      <c r="AD76" t="s">
        <v>36</v>
      </c>
      <c r="AE76" t="s">
        <v>89</v>
      </c>
      <c r="AF76" t="s">
        <v>339</v>
      </c>
      <c r="AG76" s="1" t="s">
        <v>488</v>
      </c>
    </row>
    <row r="77" spans="1:33" ht="15" customHeight="1" x14ac:dyDescent="0.25">
      <c r="A77" t="s">
        <v>489</v>
      </c>
      <c r="B77" t="s">
        <v>489</v>
      </c>
      <c r="C77">
        <v>5</v>
      </c>
      <c r="D77" t="s">
        <v>56</v>
      </c>
      <c r="E77" t="s">
        <v>57</v>
      </c>
      <c r="F77" t="s">
        <v>36</v>
      </c>
      <c r="G77" t="s">
        <v>46</v>
      </c>
      <c r="H77">
        <v>9</v>
      </c>
      <c r="I77">
        <v>-1</v>
      </c>
      <c r="J77" t="s">
        <v>490</v>
      </c>
      <c r="K77">
        <v>127</v>
      </c>
      <c r="L77" t="s">
        <v>85</v>
      </c>
      <c r="M77">
        <v>30</v>
      </c>
      <c r="N77">
        <v>19</v>
      </c>
      <c r="O77">
        <v>9</v>
      </c>
      <c r="P77">
        <v>18</v>
      </c>
      <c r="Q77">
        <v>6</v>
      </c>
      <c r="R77">
        <v>10</v>
      </c>
      <c r="S77">
        <v>5</v>
      </c>
      <c r="T77">
        <v>4</v>
      </c>
      <c r="U77">
        <v>-1</v>
      </c>
      <c r="V77">
        <v>4</v>
      </c>
      <c r="W77">
        <v>-2</v>
      </c>
      <c r="X77">
        <v>0</v>
      </c>
      <c r="Y77">
        <v>-3</v>
      </c>
      <c r="Z77" t="s">
        <v>36</v>
      </c>
      <c r="AA77" t="s">
        <v>36</v>
      </c>
      <c r="AB77" t="s">
        <v>36</v>
      </c>
      <c r="AC77" t="s">
        <v>491</v>
      </c>
      <c r="AD77" t="s">
        <v>36</v>
      </c>
      <c r="AE77" t="s">
        <v>51</v>
      </c>
      <c r="AF77" t="s">
        <v>1528</v>
      </c>
      <c r="AG77" s="1" t="s">
        <v>1529</v>
      </c>
    </row>
    <row r="78" spans="1:33" ht="15" customHeight="1" x14ac:dyDescent="0.25">
      <c r="A78" t="s">
        <v>494</v>
      </c>
      <c r="B78" t="s">
        <v>494</v>
      </c>
      <c r="C78">
        <v>8</v>
      </c>
      <c r="D78" t="s">
        <v>103</v>
      </c>
      <c r="E78" t="s">
        <v>339</v>
      </c>
      <c r="F78" t="s">
        <v>36</v>
      </c>
      <c r="G78" t="s">
        <v>159</v>
      </c>
      <c r="H78">
        <v>15</v>
      </c>
      <c r="I78">
        <v>2</v>
      </c>
      <c r="J78" t="s">
        <v>495</v>
      </c>
      <c r="K78">
        <v>149</v>
      </c>
      <c r="L78" t="s">
        <v>210</v>
      </c>
      <c r="M78">
        <v>40</v>
      </c>
      <c r="N78">
        <v>23</v>
      </c>
      <c r="O78">
        <v>9</v>
      </c>
      <c r="P78">
        <v>21</v>
      </c>
      <c r="Q78">
        <v>9</v>
      </c>
      <c r="R78">
        <v>10</v>
      </c>
      <c r="S78">
        <v>12</v>
      </c>
      <c r="T78">
        <v>6</v>
      </c>
      <c r="U78">
        <v>-1</v>
      </c>
      <c r="V78">
        <v>8</v>
      </c>
      <c r="W78">
        <v>-1</v>
      </c>
      <c r="X78">
        <v>3</v>
      </c>
      <c r="Y78">
        <v>4</v>
      </c>
      <c r="Z78" t="s">
        <v>496</v>
      </c>
      <c r="AA78" t="s">
        <v>36</v>
      </c>
      <c r="AB78" t="s">
        <v>36</v>
      </c>
      <c r="AC78" t="s">
        <v>146</v>
      </c>
      <c r="AD78" t="s">
        <v>36</v>
      </c>
      <c r="AE78" t="s">
        <v>301</v>
      </c>
      <c r="AF78" t="s">
        <v>339</v>
      </c>
      <c r="AG78" s="1" t="s">
        <v>1530</v>
      </c>
    </row>
    <row r="79" spans="1:33" ht="15" customHeight="1" x14ac:dyDescent="0.25">
      <c r="A79" t="s">
        <v>498</v>
      </c>
      <c r="B79" t="s">
        <v>499</v>
      </c>
      <c r="C79">
        <v>0</v>
      </c>
      <c r="D79" t="s">
        <v>56</v>
      </c>
      <c r="E79" t="s">
        <v>94</v>
      </c>
      <c r="F79" t="s">
        <v>36</v>
      </c>
      <c r="G79" t="s">
        <v>58</v>
      </c>
      <c r="H79">
        <v>5</v>
      </c>
      <c r="I79">
        <v>-5</v>
      </c>
      <c r="J79" t="s">
        <v>500</v>
      </c>
      <c r="K79">
        <v>13</v>
      </c>
      <c r="L79" t="s">
        <v>501</v>
      </c>
      <c r="M79">
        <v>5</v>
      </c>
      <c r="N79">
        <v>1</v>
      </c>
      <c r="O79">
        <v>1</v>
      </c>
      <c r="P79">
        <v>10</v>
      </c>
      <c r="Q79">
        <v>1</v>
      </c>
      <c r="R79">
        <v>3</v>
      </c>
      <c r="S79">
        <v>1</v>
      </c>
      <c r="T79">
        <v>-5</v>
      </c>
      <c r="U79">
        <v>-5</v>
      </c>
      <c r="V79">
        <v>0</v>
      </c>
      <c r="W79">
        <v>-5</v>
      </c>
      <c r="X79">
        <v>-4</v>
      </c>
      <c r="Y79">
        <v>-5</v>
      </c>
      <c r="Z79" t="s">
        <v>36</v>
      </c>
      <c r="AA79" t="s">
        <v>36</v>
      </c>
      <c r="AB79" t="s">
        <v>36</v>
      </c>
      <c r="AC79" t="s">
        <v>502</v>
      </c>
      <c r="AD79" t="s">
        <v>36</v>
      </c>
      <c r="AE79" t="s">
        <v>503</v>
      </c>
      <c r="AF79" t="s">
        <v>63</v>
      </c>
      <c r="AG79" s="1" t="s">
        <v>504</v>
      </c>
    </row>
    <row r="80" spans="1:33" ht="15" customHeight="1" x14ac:dyDescent="0.25">
      <c r="A80" t="s">
        <v>505</v>
      </c>
      <c r="B80" t="s">
        <v>499</v>
      </c>
      <c r="C80">
        <v>0.25</v>
      </c>
      <c r="D80" t="s">
        <v>56</v>
      </c>
      <c r="E80" t="s">
        <v>94</v>
      </c>
      <c r="F80" t="s">
        <v>36</v>
      </c>
      <c r="G80" t="s">
        <v>58</v>
      </c>
      <c r="H80">
        <v>5</v>
      </c>
      <c r="I80">
        <v>-5</v>
      </c>
      <c r="J80" t="s">
        <v>506</v>
      </c>
      <c r="K80">
        <v>18</v>
      </c>
      <c r="L80" t="s">
        <v>501</v>
      </c>
      <c r="M80">
        <v>5</v>
      </c>
      <c r="N80">
        <v>3</v>
      </c>
      <c r="O80">
        <v>1</v>
      </c>
      <c r="P80">
        <v>10</v>
      </c>
      <c r="Q80">
        <v>1</v>
      </c>
      <c r="R80">
        <v>3</v>
      </c>
      <c r="S80">
        <v>1</v>
      </c>
      <c r="T80">
        <v>-4</v>
      </c>
      <c r="U80">
        <v>-5</v>
      </c>
      <c r="V80">
        <v>0</v>
      </c>
      <c r="W80">
        <v>-5</v>
      </c>
      <c r="X80">
        <v>-4</v>
      </c>
      <c r="Y80">
        <v>-5</v>
      </c>
      <c r="Z80" t="s">
        <v>36</v>
      </c>
      <c r="AA80" t="s">
        <v>36</v>
      </c>
      <c r="AB80" t="s">
        <v>36</v>
      </c>
      <c r="AC80" t="s">
        <v>502</v>
      </c>
      <c r="AD80" t="s">
        <v>36</v>
      </c>
      <c r="AE80" t="s">
        <v>503</v>
      </c>
      <c r="AF80" t="s">
        <v>63</v>
      </c>
      <c r="AG80" s="1" t="s">
        <v>507</v>
      </c>
    </row>
    <row r="81" spans="1:33" ht="15" customHeight="1" x14ac:dyDescent="0.25">
      <c r="A81" t="s">
        <v>508</v>
      </c>
      <c r="B81" t="s">
        <v>508</v>
      </c>
      <c r="C81">
        <v>2</v>
      </c>
      <c r="D81" t="s">
        <v>56</v>
      </c>
      <c r="E81" t="s">
        <v>45</v>
      </c>
      <c r="F81" t="s">
        <v>36</v>
      </c>
      <c r="G81" t="s">
        <v>122</v>
      </c>
      <c r="H81">
        <v>15</v>
      </c>
      <c r="I81">
        <v>2</v>
      </c>
      <c r="J81" t="s">
        <v>168</v>
      </c>
      <c r="K81">
        <v>67</v>
      </c>
      <c r="L81" t="s">
        <v>311</v>
      </c>
      <c r="M81">
        <v>30</v>
      </c>
      <c r="N81">
        <v>15</v>
      </c>
      <c r="O81">
        <v>11</v>
      </c>
      <c r="P81">
        <v>16</v>
      </c>
      <c r="Q81">
        <v>6</v>
      </c>
      <c r="R81">
        <v>11</v>
      </c>
      <c r="S81">
        <v>7</v>
      </c>
      <c r="T81">
        <v>2</v>
      </c>
      <c r="U81">
        <v>0</v>
      </c>
      <c r="V81">
        <v>3</v>
      </c>
      <c r="W81">
        <v>-2</v>
      </c>
      <c r="X81">
        <v>0</v>
      </c>
      <c r="Y81">
        <v>-2</v>
      </c>
      <c r="Z81" t="s">
        <v>509</v>
      </c>
      <c r="AA81" t="s">
        <v>36</v>
      </c>
      <c r="AB81" t="s">
        <v>36</v>
      </c>
      <c r="AC81" t="s">
        <v>510</v>
      </c>
      <c r="AD81" t="s">
        <v>36</v>
      </c>
      <c r="AE81" t="s">
        <v>51</v>
      </c>
      <c r="AF81" t="s">
        <v>462</v>
      </c>
      <c r="AG81" s="1" t="s">
        <v>1531</v>
      </c>
    </row>
    <row r="82" spans="1:33" ht="15" customHeight="1" x14ac:dyDescent="0.25">
      <c r="A82" t="s">
        <v>512</v>
      </c>
      <c r="B82" t="s">
        <v>512</v>
      </c>
      <c r="C82">
        <v>2</v>
      </c>
      <c r="D82" t="s">
        <v>34</v>
      </c>
      <c r="E82" t="s">
        <v>200</v>
      </c>
      <c r="F82" t="s">
        <v>36</v>
      </c>
      <c r="G82" t="s">
        <v>58</v>
      </c>
      <c r="H82">
        <v>6</v>
      </c>
      <c r="I82">
        <v>-4</v>
      </c>
      <c r="J82" t="s">
        <v>513</v>
      </c>
      <c r="K82">
        <v>63</v>
      </c>
      <c r="L82" t="s">
        <v>514</v>
      </c>
      <c r="M82">
        <v>15</v>
      </c>
      <c r="N82">
        <v>14</v>
      </c>
      <c r="O82">
        <v>3</v>
      </c>
      <c r="P82">
        <v>20</v>
      </c>
      <c r="Q82">
        <v>1</v>
      </c>
      <c r="R82">
        <v>6</v>
      </c>
      <c r="S82">
        <v>1</v>
      </c>
      <c r="T82">
        <v>2</v>
      </c>
      <c r="U82">
        <v>-4</v>
      </c>
      <c r="V82">
        <v>5</v>
      </c>
      <c r="W82">
        <v>-5</v>
      </c>
      <c r="X82">
        <v>-2</v>
      </c>
      <c r="Y82">
        <v>-5</v>
      </c>
      <c r="Z82" t="s">
        <v>36</v>
      </c>
      <c r="AA82" t="s">
        <v>36</v>
      </c>
      <c r="AB82" t="s">
        <v>36</v>
      </c>
      <c r="AC82" t="s">
        <v>515</v>
      </c>
      <c r="AD82" t="s">
        <v>36</v>
      </c>
      <c r="AE82" t="s">
        <v>204</v>
      </c>
      <c r="AF82" t="s">
        <v>63</v>
      </c>
      <c r="AG82" s="1" t="s">
        <v>1532</v>
      </c>
    </row>
    <row r="83" spans="1:33" ht="15" customHeight="1" x14ac:dyDescent="0.25">
      <c r="A83" t="s">
        <v>517</v>
      </c>
      <c r="B83" t="s">
        <v>517</v>
      </c>
      <c r="C83">
        <v>2</v>
      </c>
      <c r="D83" t="s">
        <v>56</v>
      </c>
      <c r="E83" t="s">
        <v>518</v>
      </c>
      <c r="F83" t="s">
        <v>36</v>
      </c>
      <c r="G83" t="s">
        <v>122</v>
      </c>
      <c r="H83">
        <v>13</v>
      </c>
      <c r="I83">
        <v>3</v>
      </c>
      <c r="J83" t="s">
        <v>519</v>
      </c>
      <c r="K83">
        <v>36</v>
      </c>
      <c r="L83" t="s">
        <v>85</v>
      </c>
      <c r="M83">
        <v>30</v>
      </c>
      <c r="N83">
        <v>16</v>
      </c>
      <c r="O83">
        <v>17</v>
      </c>
      <c r="P83">
        <v>10</v>
      </c>
      <c r="Q83">
        <v>11</v>
      </c>
      <c r="R83">
        <v>10</v>
      </c>
      <c r="S83">
        <v>8</v>
      </c>
      <c r="T83">
        <v>3</v>
      </c>
      <c r="U83">
        <v>3</v>
      </c>
      <c r="V83">
        <v>0</v>
      </c>
      <c r="W83">
        <v>0</v>
      </c>
      <c r="X83">
        <v>2</v>
      </c>
      <c r="Y83">
        <v>-1</v>
      </c>
      <c r="Z83" t="s">
        <v>36</v>
      </c>
      <c r="AA83" t="s">
        <v>520</v>
      </c>
      <c r="AB83" t="s">
        <v>36</v>
      </c>
      <c r="AC83" t="s">
        <v>521</v>
      </c>
      <c r="AD83" t="s">
        <v>36</v>
      </c>
      <c r="AE83" t="s">
        <v>51</v>
      </c>
      <c r="AF83" t="s">
        <v>170</v>
      </c>
      <c r="AG83" s="1" t="s">
        <v>1533</v>
      </c>
    </row>
    <row r="84" spans="1:33" ht="15" customHeight="1" x14ac:dyDescent="0.25">
      <c r="A84" t="s">
        <v>523</v>
      </c>
      <c r="B84" t="s">
        <v>523</v>
      </c>
      <c r="C84">
        <v>4</v>
      </c>
      <c r="D84" t="s">
        <v>56</v>
      </c>
      <c r="E84" t="s">
        <v>518</v>
      </c>
      <c r="F84" t="s">
        <v>36</v>
      </c>
      <c r="G84" t="s">
        <v>46</v>
      </c>
      <c r="H84">
        <v>11</v>
      </c>
      <c r="I84">
        <v>1</v>
      </c>
      <c r="J84" t="s">
        <v>524</v>
      </c>
      <c r="K84">
        <v>45</v>
      </c>
      <c r="L84" t="s">
        <v>525</v>
      </c>
      <c r="M84">
        <v>5</v>
      </c>
      <c r="N84">
        <v>7</v>
      </c>
      <c r="O84">
        <v>13</v>
      </c>
      <c r="P84">
        <v>10</v>
      </c>
      <c r="Q84">
        <v>10</v>
      </c>
      <c r="R84">
        <v>12</v>
      </c>
      <c r="S84">
        <v>17</v>
      </c>
      <c r="T84">
        <v>-2</v>
      </c>
      <c r="U84">
        <v>1</v>
      </c>
      <c r="V84">
        <v>0</v>
      </c>
      <c r="W84">
        <v>0</v>
      </c>
      <c r="X84">
        <v>1</v>
      </c>
      <c r="Y84">
        <v>3</v>
      </c>
      <c r="Z84" t="s">
        <v>36</v>
      </c>
      <c r="AA84" t="s">
        <v>526</v>
      </c>
      <c r="AB84" t="s">
        <v>36</v>
      </c>
      <c r="AC84" t="s">
        <v>527</v>
      </c>
      <c r="AD84" t="s">
        <v>36</v>
      </c>
      <c r="AE84" t="s">
        <v>283</v>
      </c>
      <c r="AF84" t="s">
        <v>100</v>
      </c>
      <c r="AG84" s="1" t="s">
        <v>1534</v>
      </c>
    </row>
    <row r="85" spans="1:33" ht="15" customHeight="1" x14ac:dyDescent="0.25">
      <c r="A85" t="s">
        <v>529</v>
      </c>
      <c r="B85" t="s">
        <v>529</v>
      </c>
      <c r="C85">
        <v>1</v>
      </c>
      <c r="D85" t="s">
        <v>56</v>
      </c>
      <c r="E85" t="s">
        <v>518</v>
      </c>
      <c r="F85" t="s">
        <v>36</v>
      </c>
      <c r="G85" t="s">
        <v>122</v>
      </c>
      <c r="H85">
        <v>12</v>
      </c>
      <c r="I85">
        <v>2</v>
      </c>
      <c r="J85" t="s">
        <v>453</v>
      </c>
      <c r="K85">
        <v>22</v>
      </c>
      <c r="L85" t="s">
        <v>85</v>
      </c>
      <c r="M85">
        <v>30</v>
      </c>
      <c r="N85">
        <v>13</v>
      </c>
      <c r="O85">
        <v>15</v>
      </c>
      <c r="P85">
        <v>10</v>
      </c>
      <c r="Q85">
        <v>7</v>
      </c>
      <c r="R85">
        <v>10</v>
      </c>
      <c r="S85">
        <v>6</v>
      </c>
      <c r="T85">
        <v>1</v>
      </c>
      <c r="U85">
        <v>2</v>
      </c>
      <c r="V85">
        <v>0</v>
      </c>
      <c r="W85">
        <v>-2</v>
      </c>
      <c r="X85">
        <v>0</v>
      </c>
      <c r="Y85">
        <v>-2</v>
      </c>
      <c r="Z85" t="s">
        <v>36</v>
      </c>
      <c r="AA85" t="s">
        <v>36</v>
      </c>
      <c r="AB85" t="s">
        <v>36</v>
      </c>
      <c r="AC85" t="s">
        <v>521</v>
      </c>
      <c r="AD85" t="s">
        <v>36</v>
      </c>
      <c r="AE85" t="s">
        <v>51</v>
      </c>
      <c r="AF85" t="s">
        <v>170</v>
      </c>
      <c r="AG85" s="1" t="s">
        <v>1535</v>
      </c>
    </row>
    <row r="86" spans="1:33" ht="15" customHeight="1" x14ac:dyDescent="0.25">
      <c r="A86" t="s">
        <v>531</v>
      </c>
      <c r="B86" t="s">
        <v>531</v>
      </c>
      <c r="C86">
        <v>2</v>
      </c>
      <c r="D86" t="s">
        <v>56</v>
      </c>
      <c r="E86" t="s">
        <v>35</v>
      </c>
      <c r="F86" t="s">
        <v>36</v>
      </c>
      <c r="G86" t="s">
        <v>330</v>
      </c>
      <c r="H86">
        <v>9</v>
      </c>
      <c r="I86">
        <v>-1</v>
      </c>
      <c r="J86" t="s">
        <v>532</v>
      </c>
      <c r="K86">
        <v>52</v>
      </c>
      <c r="L86" t="s">
        <v>533</v>
      </c>
      <c r="M86">
        <v>20</v>
      </c>
      <c r="N86">
        <v>10</v>
      </c>
      <c r="O86">
        <v>8</v>
      </c>
      <c r="P86">
        <v>16</v>
      </c>
      <c r="Q86">
        <v>3</v>
      </c>
      <c r="R86">
        <v>10</v>
      </c>
      <c r="S86">
        <v>6</v>
      </c>
      <c r="T86">
        <v>0</v>
      </c>
      <c r="U86">
        <v>-1</v>
      </c>
      <c r="V86">
        <v>3</v>
      </c>
      <c r="W86">
        <v>-4</v>
      </c>
      <c r="X86">
        <v>0</v>
      </c>
      <c r="Y86">
        <v>-2</v>
      </c>
      <c r="Z86" t="s">
        <v>36</v>
      </c>
      <c r="AA86" t="s">
        <v>36</v>
      </c>
      <c r="AB86" t="s">
        <v>36</v>
      </c>
      <c r="AC86" t="s">
        <v>534</v>
      </c>
      <c r="AD86" t="s">
        <v>36</v>
      </c>
      <c r="AE86" t="s">
        <v>51</v>
      </c>
      <c r="AF86" t="s">
        <v>63</v>
      </c>
      <c r="AG86" s="1" t="s">
        <v>1536</v>
      </c>
    </row>
    <row r="87" spans="1:33" ht="15" customHeight="1" x14ac:dyDescent="0.25">
      <c r="A87" t="s">
        <v>536</v>
      </c>
      <c r="B87" t="s">
        <v>536</v>
      </c>
      <c r="C87">
        <v>9</v>
      </c>
      <c r="D87" t="s">
        <v>34</v>
      </c>
      <c r="E87" t="s">
        <v>120</v>
      </c>
      <c r="F87" t="s">
        <v>121</v>
      </c>
      <c r="G87" t="s">
        <v>122</v>
      </c>
      <c r="H87">
        <v>17</v>
      </c>
      <c r="I87">
        <v>6</v>
      </c>
      <c r="J87" t="s">
        <v>537</v>
      </c>
      <c r="K87">
        <v>189</v>
      </c>
      <c r="L87" t="s">
        <v>210</v>
      </c>
      <c r="M87">
        <v>40</v>
      </c>
      <c r="N87">
        <v>20</v>
      </c>
      <c r="O87">
        <v>15</v>
      </c>
      <c r="P87">
        <v>21</v>
      </c>
      <c r="Q87">
        <v>19</v>
      </c>
      <c r="R87">
        <v>17</v>
      </c>
      <c r="S87">
        <v>16</v>
      </c>
      <c r="T87">
        <v>9</v>
      </c>
      <c r="U87">
        <v>2</v>
      </c>
      <c r="V87">
        <v>9</v>
      </c>
      <c r="W87">
        <v>4</v>
      </c>
      <c r="X87">
        <v>7</v>
      </c>
      <c r="Y87">
        <v>7</v>
      </c>
      <c r="Z87" t="s">
        <v>538</v>
      </c>
      <c r="AA87" t="s">
        <v>438</v>
      </c>
      <c r="AB87" t="s">
        <v>36</v>
      </c>
      <c r="AC87" t="s">
        <v>320</v>
      </c>
      <c r="AD87" t="s">
        <v>36</v>
      </c>
      <c r="AE87" t="s">
        <v>539</v>
      </c>
      <c r="AF87" t="s">
        <v>129</v>
      </c>
      <c r="AG87" s="1" t="s">
        <v>540</v>
      </c>
    </row>
    <row r="88" spans="1:33" ht="15" customHeight="1" x14ac:dyDescent="0.25">
      <c r="A88" t="s">
        <v>541</v>
      </c>
      <c r="B88" t="s">
        <v>541</v>
      </c>
      <c r="C88">
        <v>5</v>
      </c>
      <c r="D88" t="s">
        <v>82</v>
      </c>
      <c r="E88" t="s">
        <v>83</v>
      </c>
      <c r="F88" t="s">
        <v>36</v>
      </c>
      <c r="G88" t="s">
        <v>46</v>
      </c>
      <c r="H88">
        <v>16</v>
      </c>
      <c r="I88">
        <v>5</v>
      </c>
      <c r="J88" t="s">
        <v>542</v>
      </c>
      <c r="K88">
        <v>112</v>
      </c>
      <c r="L88" t="s">
        <v>85</v>
      </c>
      <c r="M88">
        <v>30</v>
      </c>
      <c r="N88">
        <v>18</v>
      </c>
      <c r="O88">
        <v>15</v>
      </c>
      <c r="P88">
        <v>16</v>
      </c>
      <c r="Q88">
        <v>10</v>
      </c>
      <c r="R88">
        <v>12</v>
      </c>
      <c r="S88">
        <v>15</v>
      </c>
      <c r="T88">
        <v>7</v>
      </c>
      <c r="U88">
        <v>5</v>
      </c>
      <c r="V88">
        <v>6</v>
      </c>
      <c r="W88">
        <v>0</v>
      </c>
      <c r="X88">
        <v>4</v>
      </c>
      <c r="Y88">
        <v>2</v>
      </c>
      <c r="Z88" t="s">
        <v>543</v>
      </c>
      <c r="AA88" t="s">
        <v>36</v>
      </c>
      <c r="AB88" t="s">
        <v>36</v>
      </c>
      <c r="AC88" t="s">
        <v>36</v>
      </c>
      <c r="AD88" t="s">
        <v>544</v>
      </c>
      <c r="AE88" t="s">
        <v>116</v>
      </c>
      <c r="AF88" t="s">
        <v>170</v>
      </c>
      <c r="AG88" s="1" t="s">
        <v>545</v>
      </c>
    </row>
    <row r="89" spans="1:33" ht="15" customHeight="1" x14ac:dyDescent="0.25">
      <c r="A89" t="s">
        <v>546</v>
      </c>
      <c r="B89" t="s">
        <v>547</v>
      </c>
      <c r="C89">
        <v>0.5</v>
      </c>
      <c r="D89" t="s">
        <v>56</v>
      </c>
      <c r="E89" t="s">
        <v>120</v>
      </c>
      <c r="F89" t="s">
        <v>36</v>
      </c>
      <c r="G89" t="s">
        <v>122</v>
      </c>
      <c r="H89">
        <v>15</v>
      </c>
      <c r="I89">
        <v>1</v>
      </c>
      <c r="J89" t="s">
        <v>548</v>
      </c>
      <c r="K89">
        <v>27</v>
      </c>
      <c r="L89" t="s">
        <v>85</v>
      </c>
      <c r="M89">
        <v>30</v>
      </c>
      <c r="N89">
        <v>14</v>
      </c>
      <c r="O89">
        <v>12</v>
      </c>
      <c r="P89">
        <v>11</v>
      </c>
      <c r="Q89">
        <v>6</v>
      </c>
      <c r="R89">
        <v>10</v>
      </c>
      <c r="S89">
        <v>7</v>
      </c>
      <c r="T89">
        <v>2</v>
      </c>
      <c r="U89">
        <v>1</v>
      </c>
      <c r="V89">
        <v>0</v>
      </c>
      <c r="W89">
        <v>-2</v>
      </c>
      <c r="X89">
        <v>0</v>
      </c>
      <c r="Y89">
        <v>-2</v>
      </c>
      <c r="Z89" t="s">
        <v>36</v>
      </c>
      <c r="AA89" t="s">
        <v>36</v>
      </c>
      <c r="AB89" t="s">
        <v>36</v>
      </c>
      <c r="AC89" t="s">
        <v>36</v>
      </c>
      <c r="AD89" t="s">
        <v>36</v>
      </c>
      <c r="AE89" t="s">
        <v>51</v>
      </c>
      <c r="AF89" t="s">
        <v>547</v>
      </c>
      <c r="AG89" s="1" t="s">
        <v>549</v>
      </c>
    </row>
    <row r="90" spans="1:33" ht="15" customHeight="1" x14ac:dyDescent="0.25">
      <c r="A90" t="s">
        <v>550</v>
      </c>
      <c r="B90" t="s">
        <v>551</v>
      </c>
      <c r="C90">
        <v>0.125</v>
      </c>
      <c r="D90" t="s">
        <v>66</v>
      </c>
      <c r="E90" t="s">
        <v>207</v>
      </c>
      <c r="F90" t="s">
        <v>280</v>
      </c>
      <c r="G90" t="s">
        <v>330</v>
      </c>
      <c r="H90">
        <v>12</v>
      </c>
      <c r="I90">
        <v>2</v>
      </c>
      <c r="J90" t="s">
        <v>552</v>
      </c>
      <c r="K90">
        <v>7</v>
      </c>
      <c r="L90" t="s">
        <v>85</v>
      </c>
      <c r="M90">
        <v>30</v>
      </c>
      <c r="N90">
        <v>8</v>
      </c>
      <c r="O90">
        <v>15</v>
      </c>
      <c r="P90">
        <v>10</v>
      </c>
      <c r="Q90">
        <v>10</v>
      </c>
      <c r="R90">
        <v>8</v>
      </c>
      <c r="S90">
        <v>8</v>
      </c>
      <c r="T90">
        <v>-1</v>
      </c>
      <c r="U90">
        <v>2</v>
      </c>
      <c r="V90">
        <v>0</v>
      </c>
      <c r="W90">
        <v>0</v>
      </c>
      <c r="X90">
        <v>-1</v>
      </c>
      <c r="Y90">
        <v>-1</v>
      </c>
      <c r="Z90" t="s">
        <v>553</v>
      </c>
      <c r="AA90" t="s">
        <v>36</v>
      </c>
      <c r="AB90" t="s">
        <v>36</v>
      </c>
      <c r="AC90" t="s">
        <v>36</v>
      </c>
      <c r="AD90" t="s">
        <v>554</v>
      </c>
      <c r="AE90" t="s">
        <v>151</v>
      </c>
      <c r="AF90" t="s">
        <v>284</v>
      </c>
      <c r="AG90" s="1" t="s">
        <v>555</v>
      </c>
    </row>
    <row r="91" spans="1:33" ht="15" customHeight="1" x14ac:dyDescent="0.25">
      <c r="A91" t="s">
        <v>556</v>
      </c>
      <c r="B91" t="s">
        <v>551</v>
      </c>
      <c r="C91">
        <v>0.25</v>
      </c>
      <c r="D91" t="s">
        <v>66</v>
      </c>
      <c r="E91" t="s">
        <v>207</v>
      </c>
      <c r="F91" t="s">
        <v>280</v>
      </c>
      <c r="G91" t="s">
        <v>330</v>
      </c>
      <c r="H91">
        <v>15</v>
      </c>
      <c r="I91">
        <v>2</v>
      </c>
      <c r="J91" t="s">
        <v>95</v>
      </c>
      <c r="K91">
        <v>10</v>
      </c>
      <c r="L91" t="s">
        <v>85</v>
      </c>
      <c r="M91">
        <v>30</v>
      </c>
      <c r="N91">
        <v>8</v>
      </c>
      <c r="O91">
        <v>15</v>
      </c>
      <c r="P91">
        <v>10</v>
      </c>
      <c r="Q91">
        <v>10</v>
      </c>
      <c r="R91">
        <v>8</v>
      </c>
      <c r="S91">
        <v>8</v>
      </c>
      <c r="T91">
        <v>-1</v>
      </c>
      <c r="U91">
        <v>2</v>
      </c>
      <c r="V91">
        <v>0</v>
      </c>
      <c r="W91">
        <v>0</v>
      </c>
      <c r="X91">
        <v>-1</v>
      </c>
      <c r="Y91">
        <v>-1</v>
      </c>
      <c r="Z91" t="s">
        <v>553</v>
      </c>
      <c r="AA91" t="s">
        <v>36</v>
      </c>
      <c r="AB91" t="s">
        <v>36</v>
      </c>
      <c r="AC91" t="s">
        <v>36</v>
      </c>
      <c r="AD91" t="s">
        <v>557</v>
      </c>
      <c r="AE91" t="s">
        <v>151</v>
      </c>
      <c r="AF91" t="s">
        <v>284</v>
      </c>
      <c r="AG91" s="1" t="s">
        <v>558</v>
      </c>
    </row>
    <row r="92" spans="1:33" ht="15" customHeight="1" x14ac:dyDescent="0.25">
      <c r="A92" t="s">
        <v>559</v>
      </c>
      <c r="B92" t="s">
        <v>551</v>
      </c>
      <c r="C92">
        <v>1</v>
      </c>
      <c r="D92" t="s">
        <v>66</v>
      </c>
      <c r="E92" t="s">
        <v>207</v>
      </c>
      <c r="F92" t="s">
        <v>280</v>
      </c>
      <c r="G92" t="s">
        <v>330</v>
      </c>
      <c r="H92">
        <v>17</v>
      </c>
      <c r="I92">
        <v>2</v>
      </c>
      <c r="J92" t="s">
        <v>560</v>
      </c>
      <c r="K92">
        <v>21</v>
      </c>
      <c r="L92" t="s">
        <v>85</v>
      </c>
      <c r="M92">
        <v>30</v>
      </c>
      <c r="N92">
        <v>10</v>
      </c>
      <c r="O92">
        <v>15</v>
      </c>
      <c r="P92">
        <v>10</v>
      </c>
      <c r="Q92">
        <v>10</v>
      </c>
      <c r="R92">
        <v>8</v>
      </c>
      <c r="S92">
        <v>10</v>
      </c>
      <c r="T92">
        <v>0</v>
      </c>
      <c r="U92">
        <v>2</v>
      </c>
      <c r="V92">
        <v>0</v>
      </c>
      <c r="W92">
        <v>0</v>
      </c>
      <c r="X92">
        <v>-1</v>
      </c>
      <c r="Y92">
        <v>0</v>
      </c>
      <c r="Z92" t="s">
        <v>553</v>
      </c>
      <c r="AA92" t="s">
        <v>36</v>
      </c>
      <c r="AB92" t="s">
        <v>36</v>
      </c>
      <c r="AC92" t="s">
        <v>36</v>
      </c>
      <c r="AD92" t="s">
        <v>561</v>
      </c>
      <c r="AE92" t="s">
        <v>151</v>
      </c>
      <c r="AF92" t="s">
        <v>284</v>
      </c>
      <c r="AG92" s="1" t="s">
        <v>562</v>
      </c>
    </row>
    <row r="93" spans="1:33" ht="15" customHeight="1" x14ac:dyDescent="0.25">
      <c r="A93" t="s">
        <v>563</v>
      </c>
      <c r="B93" t="s">
        <v>564</v>
      </c>
      <c r="C93">
        <v>3</v>
      </c>
      <c r="D93" t="s">
        <v>56</v>
      </c>
      <c r="E93" t="s">
        <v>174</v>
      </c>
      <c r="F93" t="s">
        <v>247</v>
      </c>
      <c r="G93" t="s">
        <v>208</v>
      </c>
      <c r="H93">
        <v>17</v>
      </c>
      <c r="I93">
        <v>4</v>
      </c>
      <c r="J93" t="s">
        <v>374</v>
      </c>
      <c r="K93">
        <v>60</v>
      </c>
      <c r="L93" t="s">
        <v>176</v>
      </c>
      <c r="M93">
        <v>30</v>
      </c>
      <c r="N93">
        <v>19</v>
      </c>
      <c r="O93">
        <v>14</v>
      </c>
      <c r="P93">
        <v>17</v>
      </c>
      <c r="Q93">
        <v>14</v>
      </c>
      <c r="R93">
        <v>11</v>
      </c>
      <c r="S93">
        <v>16</v>
      </c>
      <c r="T93">
        <v>4</v>
      </c>
      <c r="U93">
        <v>4</v>
      </c>
      <c r="V93">
        <v>3</v>
      </c>
      <c r="W93">
        <v>2</v>
      </c>
      <c r="X93">
        <v>2</v>
      </c>
      <c r="Y93">
        <v>3</v>
      </c>
      <c r="Z93" t="s">
        <v>177</v>
      </c>
      <c r="AA93" t="s">
        <v>36</v>
      </c>
      <c r="AB93" t="s">
        <v>36</v>
      </c>
      <c r="AC93" t="s">
        <v>98</v>
      </c>
      <c r="AD93" t="s">
        <v>36</v>
      </c>
      <c r="AE93" t="s">
        <v>179</v>
      </c>
      <c r="AF93" t="s">
        <v>165</v>
      </c>
      <c r="AG93" s="1" t="s">
        <v>1537</v>
      </c>
    </row>
    <row r="94" spans="1:33" ht="15" customHeight="1" x14ac:dyDescent="0.25">
      <c r="A94" t="s">
        <v>566</v>
      </c>
      <c r="B94" t="s">
        <v>564</v>
      </c>
      <c r="C94">
        <v>10</v>
      </c>
      <c r="D94" t="s">
        <v>34</v>
      </c>
      <c r="E94" t="s">
        <v>174</v>
      </c>
      <c r="F94" t="s">
        <v>247</v>
      </c>
      <c r="G94" t="s">
        <v>208</v>
      </c>
      <c r="H94">
        <v>18</v>
      </c>
      <c r="I94">
        <v>6</v>
      </c>
      <c r="J94" t="s">
        <v>567</v>
      </c>
      <c r="K94">
        <v>178</v>
      </c>
      <c r="L94" t="s">
        <v>183</v>
      </c>
      <c r="M94">
        <v>40</v>
      </c>
      <c r="N94">
        <v>23</v>
      </c>
      <c r="O94">
        <v>14</v>
      </c>
      <c r="P94">
        <v>21</v>
      </c>
      <c r="Q94">
        <v>16</v>
      </c>
      <c r="R94">
        <v>13</v>
      </c>
      <c r="S94">
        <v>20</v>
      </c>
      <c r="T94">
        <v>6</v>
      </c>
      <c r="U94">
        <v>6</v>
      </c>
      <c r="V94">
        <v>5</v>
      </c>
      <c r="W94">
        <v>3</v>
      </c>
      <c r="X94">
        <v>5</v>
      </c>
      <c r="Y94">
        <v>5</v>
      </c>
      <c r="Z94" t="s">
        <v>568</v>
      </c>
      <c r="AA94" t="s">
        <v>36</v>
      </c>
      <c r="AB94" t="s">
        <v>36</v>
      </c>
      <c r="AC94" t="s">
        <v>98</v>
      </c>
      <c r="AD94" t="s">
        <v>36</v>
      </c>
      <c r="AE94" t="s">
        <v>225</v>
      </c>
      <c r="AF94" t="s">
        <v>186</v>
      </c>
      <c r="AG94" s="1" t="s">
        <v>1538</v>
      </c>
    </row>
    <row r="95" spans="1:33" ht="15" customHeight="1" x14ac:dyDescent="0.25">
      <c r="A95" t="s">
        <v>570</v>
      </c>
      <c r="B95" t="s">
        <v>564</v>
      </c>
      <c r="C95">
        <v>17</v>
      </c>
      <c r="D95" t="s">
        <v>103</v>
      </c>
      <c r="E95" t="s">
        <v>174</v>
      </c>
      <c r="F95" t="s">
        <v>247</v>
      </c>
      <c r="G95" t="s">
        <v>208</v>
      </c>
      <c r="H95">
        <v>19</v>
      </c>
      <c r="I95">
        <v>14</v>
      </c>
      <c r="J95" t="s">
        <v>571</v>
      </c>
      <c r="K95">
        <v>243</v>
      </c>
      <c r="L95" t="s">
        <v>183</v>
      </c>
      <c r="M95">
        <v>40</v>
      </c>
      <c r="N95">
        <v>27</v>
      </c>
      <c r="O95">
        <v>14</v>
      </c>
      <c r="P95">
        <v>25</v>
      </c>
      <c r="Q95">
        <v>16</v>
      </c>
      <c r="R95">
        <v>15</v>
      </c>
      <c r="S95">
        <v>24</v>
      </c>
      <c r="T95">
        <v>8</v>
      </c>
      <c r="U95">
        <v>8</v>
      </c>
      <c r="V95">
        <v>7</v>
      </c>
      <c r="W95">
        <v>3</v>
      </c>
      <c r="X95">
        <v>8</v>
      </c>
      <c r="Y95">
        <v>7</v>
      </c>
      <c r="Z95" t="s">
        <v>572</v>
      </c>
      <c r="AA95" t="s">
        <v>36</v>
      </c>
      <c r="AB95" t="s">
        <v>36</v>
      </c>
      <c r="AC95" t="s">
        <v>98</v>
      </c>
      <c r="AD95" t="s">
        <v>36</v>
      </c>
      <c r="AE95" t="s">
        <v>261</v>
      </c>
      <c r="AF95" t="s">
        <v>186</v>
      </c>
      <c r="AG95" s="1" t="s">
        <v>1539</v>
      </c>
    </row>
    <row r="96" spans="1:33" ht="15" customHeight="1" x14ac:dyDescent="0.25">
      <c r="A96" t="s">
        <v>574</v>
      </c>
      <c r="B96" t="s">
        <v>564</v>
      </c>
      <c r="C96">
        <v>24</v>
      </c>
      <c r="D96" t="s">
        <v>194</v>
      </c>
      <c r="E96" t="s">
        <v>174</v>
      </c>
      <c r="F96" t="s">
        <v>247</v>
      </c>
      <c r="G96" t="s">
        <v>208</v>
      </c>
      <c r="H96">
        <v>22</v>
      </c>
      <c r="I96">
        <v>16</v>
      </c>
      <c r="J96" t="s">
        <v>575</v>
      </c>
      <c r="K96">
        <v>546</v>
      </c>
      <c r="L96" t="s">
        <v>183</v>
      </c>
      <c r="M96">
        <v>40</v>
      </c>
      <c r="N96">
        <v>30</v>
      </c>
      <c r="O96">
        <v>14</v>
      </c>
      <c r="P96">
        <v>29</v>
      </c>
      <c r="Q96">
        <v>18</v>
      </c>
      <c r="R96">
        <v>17</v>
      </c>
      <c r="S96">
        <v>28</v>
      </c>
      <c r="T96">
        <v>10</v>
      </c>
      <c r="U96">
        <v>9</v>
      </c>
      <c r="V96">
        <v>9</v>
      </c>
      <c r="W96">
        <v>4</v>
      </c>
      <c r="X96">
        <v>10</v>
      </c>
      <c r="Y96">
        <v>9</v>
      </c>
      <c r="Z96" t="s">
        <v>576</v>
      </c>
      <c r="AA96" t="s">
        <v>36</v>
      </c>
      <c r="AB96" t="s">
        <v>36</v>
      </c>
      <c r="AC96" t="s">
        <v>98</v>
      </c>
      <c r="AD96" t="s">
        <v>36</v>
      </c>
      <c r="AE96" t="s">
        <v>237</v>
      </c>
      <c r="AF96" t="s">
        <v>186</v>
      </c>
      <c r="AG96" s="1" t="s">
        <v>1540</v>
      </c>
    </row>
    <row r="97" spans="1:33" ht="15" customHeight="1" x14ac:dyDescent="0.25">
      <c r="A97" t="s">
        <v>578</v>
      </c>
      <c r="B97" t="s">
        <v>578</v>
      </c>
      <c r="C97">
        <v>5</v>
      </c>
      <c r="D97" t="s">
        <v>34</v>
      </c>
      <c r="E97" t="s">
        <v>57</v>
      </c>
      <c r="F97" t="s">
        <v>36</v>
      </c>
      <c r="G97" t="s">
        <v>58</v>
      </c>
      <c r="H97">
        <v>19</v>
      </c>
      <c r="I97">
        <v>0</v>
      </c>
      <c r="J97" t="s">
        <v>310</v>
      </c>
      <c r="K97">
        <v>114</v>
      </c>
      <c r="L97" t="s">
        <v>210</v>
      </c>
      <c r="M97">
        <v>40</v>
      </c>
      <c r="N97">
        <v>20</v>
      </c>
      <c r="O97">
        <v>11</v>
      </c>
      <c r="P97">
        <v>18</v>
      </c>
      <c r="Q97">
        <v>2</v>
      </c>
      <c r="R97">
        <v>12</v>
      </c>
      <c r="S97">
        <v>7</v>
      </c>
      <c r="T97">
        <v>5</v>
      </c>
      <c r="U97">
        <v>0</v>
      </c>
      <c r="V97">
        <v>4</v>
      </c>
      <c r="W97">
        <v>-4</v>
      </c>
      <c r="X97">
        <v>1</v>
      </c>
      <c r="Y97">
        <v>-2</v>
      </c>
      <c r="Z97" t="s">
        <v>579</v>
      </c>
      <c r="AA97" t="s">
        <v>36</v>
      </c>
      <c r="AB97" t="s">
        <v>36</v>
      </c>
      <c r="AC97" t="s">
        <v>580</v>
      </c>
      <c r="AD97" t="s">
        <v>36</v>
      </c>
      <c r="AE97" t="s">
        <v>581</v>
      </c>
      <c r="AF97" t="s">
        <v>63</v>
      </c>
      <c r="AG97" s="1" t="s">
        <v>582</v>
      </c>
    </row>
    <row r="98" spans="1:33" ht="15" customHeight="1" x14ac:dyDescent="0.25">
      <c r="A98" t="s">
        <v>583</v>
      </c>
      <c r="B98" t="s">
        <v>583</v>
      </c>
      <c r="C98">
        <v>0.5</v>
      </c>
      <c r="D98" t="s">
        <v>56</v>
      </c>
      <c r="E98" t="s">
        <v>200</v>
      </c>
      <c r="F98" t="s">
        <v>36</v>
      </c>
      <c r="G98" t="s">
        <v>58</v>
      </c>
      <c r="H98">
        <v>9</v>
      </c>
      <c r="I98">
        <v>-2</v>
      </c>
      <c r="J98" t="s">
        <v>584</v>
      </c>
      <c r="K98">
        <v>22</v>
      </c>
      <c r="L98" t="s">
        <v>585</v>
      </c>
      <c r="M98">
        <v>10</v>
      </c>
      <c r="N98">
        <v>12</v>
      </c>
      <c r="O98">
        <v>6</v>
      </c>
      <c r="P98">
        <v>16</v>
      </c>
      <c r="Q98">
        <v>1</v>
      </c>
      <c r="R98">
        <v>6</v>
      </c>
      <c r="S98">
        <v>2</v>
      </c>
      <c r="T98">
        <v>1</v>
      </c>
      <c r="U98">
        <v>-2</v>
      </c>
      <c r="V98">
        <v>3</v>
      </c>
      <c r="W98">
        <v>-5</v>
      </c>
      <c r="X98">
        <v>-2</v>
      </c>
      <c r="Y98">
        <v>-4</v>
      </c>
      <c r="Z98" t="s">
        <v>586</v>
      </c>
      <c r="AA98" t="s">
        <v>587</v>
      </c>
      <c r="AB98" t="s">
        <v>36</v>
      </c>
      <c r="AC98" t="s">
        <v>588</v>
      </c>
      <c r="AD98" t="s">
        <v>36</v>
      </c>
      <c r="AE98" t="s">
        <v>204</v>
      </c>
      <c r="AF98" t="s">
        <v>63</v>
      </c>
      <c r="AG98" s="1" t="s">
        <v>589</v>
      </c>
    </row>
    <row r="99" spans="1:33" ht="15" customHeight="1" x14ac:dyDescent="0.25">
      <c r="A99" t="s">
        <v>590</v>
      </c>
      <c r="B99" t="s">
        <v>591</v>
      </c>
      <c r="C99">
        <v>2</v>
      </c>
      <c r="D99" t="s">
        <v>56</v>
      </c>
      <c r="E99" t="s">
        <v>174</v>
      </c>
      <c r="F99" t="s">
        <v>175</v>
      </c>
      <c r="G99" t="s">
        <v>37</v>
      </c>
      <c r="H99">
        <v>17</v>
      </c>
      <c r="I99">
        <v>3</v>
      </c>
      <c r="J99" t="s">
        <v>592</v>
      </c>
      <c r="K99">
        <v>38</v>
      </c>
      <c r="L99" t="s">
        <v>176</v>
      </c>
      <c r="M99">
        <v>30</v>
      </c>
      <c r="N99">
        <v>15</v>
      </c>
      <c r="O99">
        <v>12</v>
      </c>
      <c r="P99">
        <v>13</v>
      </c>
      <c r="Q99">
        <v>14</v>
      </c>
      <c r="R99">
        <v>11</v>
      </c>
      <c r="S99">
        <v>13</v>
      </c>
      <c r="T99">
        <v>2</v>
      </c>
      <c r="U99">
        <v>3</v>
      </c>
      <c r="V99">
        <v>1</v>
      </c>
      <c r="W99">
        <v>2</v>
      </c>
      <c r="X99">
        <v>2</v>
      </c>
      <c r="Y99">
        <v>1</v>
      </c>
      <c r="Z99" t="s">
        <v>358</v>
      </c>
      <c r="AA99" t="s">
        <v>36</v>
      </c>
      <c r="AB99" t="s">
        <v>36</v>
      </c>
      <c r="AC99" t="s">
        <v>320</v>
      </c>
      <c r="AD99" t="s">
        <v>36</v>
      </c>
      <c r="AE99" t="s">
        <v>179</v>
      </c>
      <c r="AF99" t="s">
        <v>165</v>
      </c>
      <c r="AG99" s="1" t="s">
        <v>593</v>
      </c>
    </row>
    <row r="100" spans="1:33" ht="15" customHeight="1" x14ac:dyDescent="0.25">
      <c r="A100" t="s">
        <v>594</v>
      </c>
      <c r="B100" t="s">
        <v>591</v>
      </c>
      <c r="C100">
        <v>8</v>
      </c>
      <c r="D100" t="s">
        <v>34</v>
      </c>
      <c r="E100" t="s">
        <v>174</v>
      </c>
      <c r="F100" t="s">
        <v>175</v>
      </c>
      <c r="G100" t="s">
        <v>37</v>
      </c>
      <c r="H100">
        <v>18</v>
      </c>
      <c r="I100">
        <v>4</v>
      </c>
      <c r="J100" t="s">
        <v>595</v>
      </c>
      <c r="K100">
        <v>136</v>
      </c>
      <c r="L100" t="s">
        <v>183</v>
      </c>
      <c r="M100">
        <v>40</v>
      </c>
      <c r="N100">
        <v>19</v>
      </c>
      <c r="O100">
        <v>12</v>
      </c>
      <c r="P100">
        <v>17</v>
      </c>
      <c r="Q100">
        <v>16</v>
      </c>
      <c r="R100">
        <v>13</v>
      </c>
      <c r="S100">
        <v>15</v>
      </c>
      <c r="T100">
        <v>4</v>
      </c>
      <c r="U100">
        <v>4</v>
      </c>
      <c r="V100">
        <v>3</v>
      </c>
      <c r="W100">
        <v>3</v>
      </c>
      <c r="X100">
        <v>4</v>
      </c>
      <c r="Y100">
        <v>2</v>
      </c>
      <c r="Z100" t="s">
        <v>363</v>
      </c>
      <c r="AA100" t="s">
        <v>36</v>
      </c>
      <c r="AB100" t="s">
        <v>36</v>
      </c>
      <c r="AC100" t="s">
        <v>320</v>
      </c>
      <c r="AD100" t="s">
        <v>36</v>
      </c>
      <c r="AE100" t="s">
        <v>269</v>
      </c>
      <c r="AF100" t="s">
        <v>186</v>
      </c>
      <c r="AG100" s="1" t="s">
        <v>596</v>
      </c>
    </row>
    <row r="101" spans="1:33" ht="15" customHeight="1" x14ac:dyDescent="0.25">
      <c r="A101" t="s">
        <v>597</v>
      </c>
      <c r="B101" t="s">
        <v>591</v>
      </c>
      <c r="C101">
        <v>15</v>
      </c>
      <c r="D101" t="s">
        <v>103</v>
      </c>
      <c r="E101" t="s">
        <v>174</v>
      </c>
      <c r="F101" t="s">
        <v>175</v>
      </c>
      <c r="G101" t="s">
        <v>37</v>
      </c>
      <c r="H101">
        <v>19</v>
      </c>
      <c r="I101">
        <v>11</v>
      </c>
      <c r="J101" t="s">
        <v>598</v>
      </c>
      <c r="K101">
        <v>207</v>
      </c>
      <c r="L101" t="s">
        <v>183</v>
      </c>
      <c r="M101">
        <v>40</v>
      </c>
      <c r="N101">
        <v>23</v>
      </c>
      <c r="O101">
        <v>12</v>
      </c>
      <c r="P101">
        <v>21</v>
      </c>
      <c r="Q101">
        <v>18</v>
      </c>
      <c r="R101">
        <v>15</v>
      </c>
      <c r="S101">
        <v>18</v>
      </c>
      <c r="T101">
        <v>6</v>
      </c>
      <c r="U101">
        <v>6</v>
      </c>
      <c r="V101">
        <v>5</v>
      </c>
      <c r="W101">
        <v>4</v>
      </c>
      <c r="X101">
        <v>7</v>
      </c>
      <c r="Y101">
        <v>4</v>
      </c>
      <c r="Z101" t="s">
        <v>599</v>
      </c>
      <c r="AA101" t="s">
        <v>36</v>
      </c>
      <c r="AB101" t="s">
        <v>36</v>
      </c>
      <c r="AC101" t="s">
        <v>320</v>
      </c>
      <c r="AD101" t="s">
        <v>36</v>
      </c>
      <c r="AE101" t="s">
        <v>231</v>
      </c>
      <c r="AF101" t="s">
        <v>186</v>
      </c>
      <c r="AG101" s="1" t="s">
        <v>1541</v>
      </c>
    </row>
    <row r="102" spans="1:33" ht="15" customHeight="1" x14ac:dyDescent="0.25">
      <c r="A102" t="s">
        <v>601</v>
      </c>
      <c r="B102" t="s">
        <v>591</v>
      </c>
      <c r="C102">
        <v>22</v>
      </c>
      <c r="D102" t="s">
        <v>194</v>
      </c>
      <c r="E102" t="s">
        <v>174</v>
      </c>
      <c r="F102" t="s">
        <v>175</v>
      </c>
      <c r="G102" t="s">
        <v>37</v>
      </c>
      <c r="H102">
        <v>21</v>
      </c>
      <c r="I102">
        <v>15</v>
      </c>
      <c r="J102" t="s">
        <v>602</v>
      </c>
      <c r="K102">
        <v>402</v>
      </c>
      <c r="L102" t="s">
        <v>183</v>
      </c>
      <c r="M102">
        <v>40</v>
      </c>
      <c r="N102">
        <v>27</v>
      </c>
      <c r="O102">
        <v>12</v>
      </c>
      <c r="P102">
        <v>25</v>
      </c>
      <c r="Q102">
        <v>20</v>
      </c>
      <c r="R102">
        <v>17</v>
      </c>
      <c r="S102">
        <v>22</v>
      </c>
      <c r="T102">
        <v>8</v>
      </c>
      <c r="U102">
        <v>8</v>
      </c>
      <c r="V102">
        <v>7</v>
      </c>
      <c r="W102">
        <v>5</v>
      </c>
      <c r="X102">
        <v>10</v>
      </c>
      <c r="Y102">
        <v>6</v>
      </c>
      <c r="Z102" t="s">
        <v>603</v>
      </c>
      <c r="AA102" t="s">
        <v>36</v>
      </c>
      <c r="AB102" t="s">
        <v>36</v>
      </c>
      <c r="AC102" t="s">
        <v>320</v>
      </c>
      <c r="AD102" t="s">
        <v>36</v>
      </c>
      <c r="AE102" t="s">
        <v>237</v>
      </c>
      <c r="AF102" t="s">
        <v>186</v>
      </c>
      <c r="AG102" s="1" t="s">
        <v>1542</v>
      </c>
    </row>
    <row r="103" spans="1:33" ht="15" customHeight="1" x14ac:dyDescent="0.25">
      <c r="A103" t="s">
        <v>605</v>
      </c>
      <c r="B103" t="s">
        <v>605</v>
      </c>
      <c r="C103">
        <v>3</v>
      </c>
      <c r="D103" t="s">
        <v>56</v>
      </c>
      <c r="E103" t="s">
        <v>207</v>
      </c>
      <c r="F103" t="s">
        <v>36</v>
      </c>
      <c r="G103" t="s">
        <v>159</v>
      </c>
      <c r="H103">
        <v>17</v>
      </c>
      <c r="I103">
        <v>1</v>
      </c>
      <c r="J103" t="s">
        <v>606</v>
      </c>
      <c r="K103">
        <v>82</v>
      </c>
      <c r="L103" t="s">
        <v>318</v>
      </c>
      <c r="M103">
        <v>30</v>
      </c>
      <c r="N103">
        <v>18</v>
      </c>
      <c r="O103">
        <v>12</v>
      </c>
      <c r="P103">
        <v>16</v>
      </c>
      <c r="Q103">
        <v>13</v>
      </c>
      <c r="R103">
        <v>14</v>
      </c>
      <c r="S103">
        <v>14</v>
      </c>
      <c r="T103">
        <v>4</v>
      </c>
      <c r="U103">
        <v>1</v>
      </c>
      <c r="V103">
        <v>3</v>
      </c>
      <c r="W103">
        <v>1</v>
      </c>
      <c r="X103">
        <v>2</v>
      </c>
      <c r="Y103">
        <v>2</v>
      </c>
      <c r="Z103" t="s">
        <v>607</v>
      </c>
      <c r="AA103" t="s">
        <v>36</v>
      </c>
      <c r="AB103" t="s">
        <v>36</v>
      </c>
      <c r="AC103" t="s">
        <v>36</v>
      </c>
      <c r="AD103" t="s">
        <v>36</v>
      </c>
      <c r="AE103" t="s">
        <v>321</v>
      </c>
      <c r="AF103" t="s">
        <v>608</v>
      </c>
      <c r="AG103" s="1" t="s">
        <v>1543</v>
      </c>
    </row>
    <row r="104" spans="1:33" ht="15" customHeight="1" x14ac:dyDescent="0.25">
      <c r="A104" t="s">
        <v>610</v>
      </c>
      <c r="B104" t="s">
        <v>610</v>
      </c>
      <c r="C104">
        <v>2</v>
      </c>
      <c r="D104" t="s">
        <v>56</v>
      </c>
      <c r="E104" t="s">
        <v>35</v>
      </c>
      <c r="F104" t="s">
        <v>36</v>
      </c>
      <c r="G104" t="s">
        <v>58</v>
      </c>
      <c r="H104">
        <v>14</v>
      </c>
      <c r="I104">
        <v>2</v>
      </c>
      <c r="J104" t="s">
        <v>611</v>
      </c>
      <c r="K104">
        <v>54</v>
      </c>
      <c r="L104" t="s">
        <v>144</v>
      </c>
      <c r="M104">
        <v>30</v>
      </c>
      <c r="N104">
        <v>14</v>
      </c>
      <c r="O104">
        <v>14</v>
      </c>
      <c r="P104">
        <v>11</v>
      </c>
      <c r="Q104">
        <v>3</v>
      </c>
      <c r="R104">
        <v>14</v>
      </c>
      <c r="S104">
        <v>5</v>
      </c>
      <c r="T104">
        <v>2</v>
      </c>
      <c r="U104">
        <v>2</v>
      </c>
      <c r="V104">
        <v>0</v>
      </c>
      <c r="W104">
        <v>-4</v>
      </c>
      <c r="X104">
        <v>2</v>
      </c>
      <c r="Y104">
        <v>-3</v>
      </c>
      <c r="Z104" t="s">
        <v>509</v>
      </c>
      <c r="AA104" t="s">
        <v>36</v>
      </c>
      <c r="AB104" t="s">
        <v>36</v>
      </c>
      <c r="AC104" t="s">
        <v>36</v>
      </c>
      <c r="AD104" t="s">
        <v>36</v>
      </c>
      <c r="AE104" t="s">
        <v>612</v>
      </c>
      <c r="AF104" t="s">
        <v>63</v>
      </c>
      <c r="AG104" s="1" t="s">
        <v>613</v>
      </c>
    </row>
    <row r="105" spans="1:33" ht="15" customHeight="1" x14ac:dyDescent="0.25">
      <c r="A105" t="s">
        <v>614</v>
      </c>
      <c r="B105" t="s">
        <v>614</v>
      </c>
      <c r="C105">
        <v>2</v>
      </c>
      <c r="D105" t="s">
        <v>34</v>
      </c>
      <c r="E105" t="s">
        <v>76</v>
      </c>
      <c r="F105" t="s">
        <v>36</v>
      </c>
      <c r="G105" t="s">
        <v>58</v>
      </c>
      <c r="H105">
        <v>12</v>
      </c>
      <c r="I105">
        <v>2</v>
      </c>
      <c r="J105" t="s">
        <v>615</v>
      </c>
      <c r="K105">
        <v>59</v>
      </c>
      <c r="L105" t="s">
        <v>616</v>
      </c>
      <c r="M105">
        <v>30</v>
      </c>
      <c r="N105">
        <v>18</v>
      </c>
      <c r="O105">
        <v>15</v>
      </c>
      <c r="P105">
        <v>16</v>
      </c>
      <c r="Q105">
        <v>2</v>
      </c>
      <c r="R105">
        <v>13</v>
      </c>
      <c r="S105">
        <v>8</v>
      </c>
      <c r="T105">
        <v>4</v>
      </c>
      <c r="U105">
        <v>2</v>
      </c>
      <c r="V105">
        <v>3</v>
      </c>
      <c r="W105">
        <v>-4</v>
      </c>
      <c r="X105">
        <v>1</v>
      </c>
      <c r="Y105">
        <v>-1</v>
      </c>
      <c r="Z105" t="s">
        <v>617</v>
      </c>
      <c r="AA105" t="s">
        <v>36</v>
      </c>
      <c r="AB105" t="s">
        <v>36</v>
      </c>
      <c r="AC105" t="s">
        <v>36</v>
      </c>
      <c r="AD105" t="s">
        <v>36</v>
      </c>
      <c r="AE105" t="s">
        <v>212</v>
      </c>
      <c r="AF105" t="s">
        <v>63</v>
      </c>
      <c r="AG105" s="1" t="s">
        <v>1544</v>
      </c>
    </row>
    <row r="106" spans="1:33" ht="15" customHeight="1" x14ac:dyDescent="0.25">
      <c r="A106" t="s">
        <v>619</v>
      </c>
      <c r="B106" t="s">
        <v>619</v>
      </c>
      <c r="C106">
        <v>0.25</v>
      </c>
      <c r="D106" t="s">
        <v>56</v>
      </c>
      <c r="E106" t="s">
        <v>35</v>
      </c>
      <c r="F106" t="s">
        <v>36</v>
      </c>
      <c r="G106" t="s">
        <v>159</v>
      </c>
      <c r="H106">
        <v>11</v>
      </c>
      <c r="I106">
        <v>1</v>
      </c>
      <c r="J106" t="s">
        <v>133</v>
      </c>
      <c r="K106">
        <v>11</v>
      </c>
      <c r="L106" t="s">
        <v>144</v>
      </c>
      <c r="M106">
        <v>30</v>
      </c>
      <c r="N106">
        <v>16</v>
      </c>
      <c r="O106">
        <v>12</v>
      </c>
      <c r="P106">
        <v>12</v>
      </c>
      <c r="Q106">
        <v>9</v>
      </c>
      <c r="R106">
        <v>8</v>
      </c>
      <c r="S106">
        <v>6</v>
      </c>
      <c r="T106">
        <v>3</v>
      </c>
      <c r="U106">
        <v>1</v>
      </c>
      <c r="V106">
        <v>1</v>
      </c>
      <c r="W106">
        <v>-1</v>
      </c>
      <c r="X106">
        <v>-1</v>
      </c>
      <c r="Y106">
        <v>-2</v>
      </c>
      <c r="Z106" t="s">
        <v>620</v>
      </c>
      <c r="AA106" t="s">
        <v>36</v>
      </c>
      <c r="AB106" t="s">
        <v>36</v>
      </c>
      <c r="AC106" t="s">
        <v>36</v>
      </c>
      <c r="AD106" t="s">
        <v>36</v>
      </c>
      <c r="AE106" t="s">
        <v>621</v>
      </c>
      <c r="AF106" t="s">
        <v>63</v>
      </c>
      <c r="AG106" s="1" t="s">
        <v>622</v>
      </c>
    </row>
    <row r="107" spans="1:33" ht="15" customHeight="1" x14ac:dyDescent="0.25">
      <c r="A107" t="s">
        <v>623</v>
      </c>
      <c r="B107" t="s">
        <v>623</v>
      </c>
      <c r="C107">
        <v>10</v>
      </c>
      <c r="D107" t="s">
        <v>34</v>
      </c>
      <c r="E107" t="s">
        <v>373</v>
      </c>
      <c r="F107" t="s">
        <v>36</v>
      </c>
      <c r="G107" t="s">
        <v>208</v>
      </c>
      <c r="H107">
        <v>18</v>
      </c>
      <c r="I107">
        <v>4</v>
      </c>
      <c r="J107" t="s">
        <v>595</v>
      </c>
      <c r="K107">
        <v>136</v>
      </c>
      <c r="L107" t="s">
        <v>624</v>
      </c>
      <c r="M107">
        <v>40</v>
      </c>
      <c r="N107">
        <v>19</v>
      </c>
      <c r="O107">
        <v>18</v>
      </c>
      <c r="P107">
        <v>16</v>
      </c>
      <c r="Q107">
        <v>16</v>
      </c>
      <c r="R107">
        <v>19</v>
      </c>
      <c r="S107">
        <v>18</v>
      </c>
      <c r="T107">
        <v>4</v>
      </c>
      <c r="U107">
        <v>8</v>
      </c>
      <c r="V107">
        <v>7</v>
      </c>
      <c r="W107">
        <v>7</v>
      </c>
      <c r="X107">
        <v>8</v>
      </c>
      <c r="Y107">
        <v>8</v>
      </c>
      <c r="Z107" t="s">
        <v>625</v>
      </c>
      <c r="AA107" t="s">
        <v>36</v>
      </c>
      <c r="AB107" t="s">
        <v>36</v>
      </c>
      <c r="AC107" t="s">
        <v>626</v>
      </c>
      <c r="AD107" t="s">
        <v>36</v>
      </c>
      <c r="AE107" t="s">
        <v>321</v>
      </c>
      <c r="AF107" t="s">
        <v>627</v>
      </c>
      <c r="AG107" s="1" t="s">
        <v>1545</v>
      </c>
    </row>
    <row r="108" spans="1:33" ht="15" customHeight="1" x14ac:dyDescent="0.25">
      <c r="A108" t="s">
        <v>629</v>
      </c>
      <c r="B108" t="s">
        <v>630</v>
      </c>
      <c r="C108">
        <v>0.125</v>
      </c>
      <c r="D108" t="s">
        <v>82</v>
      </c>
      <c r="E108" t="s">
        <v>83</v>
      </c>
      <c r="F108" t="s">
        <v>36</v>
      </c>
      <c r="G108" t="s">
        <v>46</v>
      </c>
      <c r="H108">
        <v>16</v>
      </c>
      <c r="I108">
        <v>1</v>
      </c>
      <c r="J108" t="s">
        <v>133</v>
      </c>
      <c r="K108">
        <v>11</v>
      </c>
      <c r="L108" t="s">
        <v>85</v>
      </c>
      <c r="M108">
        <v>30</v>
      </c>
      <c r="N108">
        <v>13</v>
      </c>
      <c r="O108">
        <v>12</v>
      </c>
      <c r="P108">
        <v>12</v>
      </c>
      <c r="Q108">
        <v>10</v>
      </c>
      <c r="R108">
        <v>11</v>
      </c>
      <c r="S108">
        <v>10</v>
      </c>
      <c r="T108">
        <v>1</v>
      </c>
      <c r="U108">
        <v>1</v>
      </c>
      <c r="V108">
        <v>1</v>
      </c>
      <c r="W108">
        <v>0</v>
      </c>
      <c r="X108">
        <v>0</v>
      </c>
      <c r="Y108">
        <v>0</v>
      </c>
      <c r="Z108" t="s">
        <v>631</v>
      </c>
      <c r="AA108" t="s">
        <v>36</v>
      </c>
      <c r="AB108" t="s">
        <v>36</v>
      </c>
      <c r="AC108" t="s">
        <v>36</v>
      </c>
      <c r="AD108" t="s">
        <v>632</v>
      </c>
      <c r="AE108" t="s">
        <v>398</v>
      </c>
      <c r="AF108" t="s">
        <v>170</v>
      </c>
      <c r="AG108" s="1" t="s">
        <v>633</v>
      </c>
    </row>
    <row r="109" spans="1:33" ht="15" customHeight="1" x14ac:dyDescent="0.25">
      <c r="A109" t="s">
        <v>634</v>
      </c>
      <c r="B109" t="s">
        <v>630</v>
      </c>
      <c r="C109">
        <v>4</v>
      </c>
      <c r="D109" t="s">
        <v>82</v>
      </c>
      <c r="E109" t="s">
        <v>83</v>
      </c>
      <c r="F109" t="s">
        <v>36</v>
      </c>
      <c r="G109" t="s">
        <v>46</v>
      </c>
      <c r="H109">
        <v>18</v>
      </c>
      <c r="I109">
        <v>4</v>
      </c>
      <c r="J109" t="s">
        <v>635</v>
      </c>
      <c r="K109">
        <v>75</v>
      </c>
      <c r="L109" t="s">
        <v>85</v>
      </c>
      <c r="M109">
        <v>30</v>
      </c>
      <c r="N109">
        <v>18</v>
      </c>
      <c r="O109">
        <v>14</v>
      </c>
      <c r="P109">
        <v>16</v>
      </c>
      <c r="Q109">
        <v>12</v>
      </c>
      <c r="R109">
        <v>14</v>
      </c>
      <c r="S109">
        <v>13</v>
      </c>
      <c r="T109">
        <v>4</v>
      </c>
      <c r="U109">
        <v>2</v>
      </c>
      <c r="V109">
        <v>3</v>
      </c>
      <c r="W109">
        <v>1</v>
      </c>
      <c r="X109">
        <v>2</v>
      </c>
      <c r="Y109">
        <v>1</v>
      </c>
      <c r="Z109" t="s">
        <v>636</v>
      </c>
      <c r="AA109" t="s">
        <v>36</v>
      </c>
      <c r="AB109" t="s">
        <v>36</v>
      </c>
      <c r="AC109" t="s">
        <v>36</v>
      </c>
      <c r="AD109" t="s">
        <v>637</v>
      </c>
      <c r="AE109" t="s">
        <v>638</v>
      </c>
      <c r="AF109" t="s">
        <v>170</v>
      </c>
      <c r="AG109" s="1" t="s">
        <v>639</v>
      </c>
    </row>
    <row r="110" spans="1:33" ht="15" customHeight="1" x14ac:dyDescent="0.25">
      <c r="A110" t="s">
        <v>640</v>
      </c>
      <c r="B110" t="s">
        <v>640</v>
      </c>
      <c r="C110">
        <v>5</v>
      </c>
      <c r="D110" t="s">
        <v>56</v>
      </c>
      <c r="E110" t="s">
        <v>174</v>
      </c>
      <c r="F110" t="s">
        <v>36</v>
      </c>
      <c r="G110" t="s">
        <v>46</v>
      </c>
      <c r="H110">
        <v>18</v>
      </c>
      <c r="I110">
        <v>5</v>
      </c>
      <c r="J110" t="s">
        <v>641</v>
      </c>
      <c r="K110">
        <v>105</v>
      </c>
      <c r="L110" t="s">
        <v>210</v>
      </c>
      <c r="M110">
        <v>40</v>
      </c>
      <c r="N110">
        <v>19</v>
      </c>
      <c r="O110">
        <v>14</v>
      </c>
      <c r="P110">
        <v>16</v>
      </c>
      <c r="Q110">
        <v>10</v>
      </c>
      <c r="R110">
        <v>15</v>
      </c>
      <c r="S110">
        <v>14</v>
      </c>
      <c r="T110">
        <v>4</v>
      </c>
      <c r="U110">
        <v>5</v>
      </c>
      <c r="V110">
        <v>3</v>
      </c>
      <c r="W110">
        <v>0</v>
      </c>
      <c r="X110">
        <v>5</v>
      </c>
      <c r="Y110">
        <v>2</v>
      </c>
      <c r="Z110" t="s">
        <v>642</v>
      </c>
      <c r="AA110" t="s">
        <v>643</v>
      </c>
      <c r="AB110" t="s">
        <v>36</v>
      </c>
      <c r="AC110" t="s">
        <v>36</v>
      </c>
      <c r="AD110" t="s">
        <v>36</v>
      </c>
      <c r="AE110" t="s">
        <v>644</v>
      </c>
      <c r="AF110" t="s">
        <v>186</v>
      </c>
      <c r="AG110" s="1" t="s">
        <v>1546</v>
      </c>
    </row>
    <row r="111" spans="1:33" ht="15" customHeight="1" x14ac:dyDescent="0.25">
      <c r="A111" t="s">
        <v>646</v>
      </c>
      <c r="B111" t="s">
        <v>646</v>
      </c>
      <c r="C111">
        <v>1</v>
      </c>
      <c r="D111" t="s">
        <v>56</v>
      </c>
      <c r="E111" t="s">
        <v>76</v>
      </c>
      <c r="F111" t="s">
        <v>36</v>
      </c>
      <c r="G111" t="s">
        <v>122</v>
      </c>
      <c r="H111">
        <v>11</v>
      </c>
      <c r="I111">
        <v>1</v>
      </c>
      <c r="J111" t="s">
        <v>592</v>
      </c>
      <c r="K111">
        <v>38</v>
      </c>
      <c r="L111" t="s">
        <v>348</v>
      </c>
      <c r="M111">
        <v>20</v>
      </c>
      <c r="N111">
        <v>12</v>
      </c>
      <c r="O111">
        <v>13</v>
      </c>
      <c r="P111">
        <v>12</v>
      </c>
      <c r="Q111">
        <v>7</v>
      </c>
      <c r="R111">
        <v>10</v>
      </c>
      <c r="S111">
        <v>13</v>
      </c>
      <c r="T111">
        <v>1</v>
      </c>
      <c r="U111">
        <v>1</v>
      </c>
      <c r="V111">
        <v>1</v>
      </c>
      <c r="W111">
        <v>-2</v>
      </c>
      <c r="X111">
        <v>0</v>
      </c>
      <c r="Y111">
        <v>1</v>
      </c>
      <c r="Z111" t="s">
        <v>36</v>
      </c>
      <c r="AA111" t="s">
        <v>36</v>
      </c>
      <c r="AB111" t="s">
        <v>36</v>
      </c>
      <c r="AC111" t="s">
        <v>36</v>
      </c>
      <c r="AD111" t="s">
        <v>36</v>
      </c>
      <c r="AE111" t="s">
        <v>99</v>
      </c>
      <c r="AF111" t="s">
        <v>170</v>
      </c>
      <c r="AG111" s="1" t="s">
        <v>1547</v>
      </c>
    </row>
    <row r="112" spans="1:33" ht="15" customHeight="1" x14ac:dyDescent="0.25">
      <c r="A112" t="s">
        <v>648</v>
      </c>
      <c r="B112" t="s">
        <v>648</v>
      </c>
      <c r="C112">
        <v>3</v>
      </c>
      <c r="D112" t="s">
        <v>56</v>
      </c>
      <c r="E112" t="s">
        <v>120</v>
      </c>
      <c r="F112" t="s">
        <v>36</v>
      </c>
      <c r="G112" t="s">
        <v>37</v>
      </c>
      <c r="H112">
        <v>15</v>
      </c>
      <c r="I112">
        <v>1</v>
      </c>
      <c r="J112" t="s">
        <v>154</v>
      </c>
      <c r="K112">
        <v>58</v>
      </c>
      <c r="L112" t="s">
        <v>109</v>
      </c>
      <c r="M112">
        <v>50</v>
      </c>
      <c r="N112">
        <v>17</v>
      </c>
      <c r="O112">
        <v>12</v>
      </c>
      <c r="P112">
        <v>14</v>
      </c>
      <c r="Q112">
        <v>6</v>
      </c>
      <c r="R112">
        <v>13</v>
      </c>
      <c r="S112">
        <v>6</v>
      </c>
      <c r="T112">
        <v>3</v>
      </c>
      <c r="U112">
        <v>1</v>
      </c>
      <c r="V112">
        <v>2</v>
      </c>
      <c r="W112">
        <v>-2</v>
      </c>
      <c r="X112">
        <v>1</v>
      </c>
      <c r="Y112">
        <v>-2</v>
      </c>
      <c r="Z112" t="s">
        <v>617</v>
      </c>
      <c r="AA112" t="s">
        <v>36</v>
      </c>
      <c r="AB112" t="s">
        <v>36</v>
      </c>
      <c r="AC112" t="s">
        <v>98</v>
      </c>
      <c r="AD112" t="s">
        <v>36</v>
      </c>
      <c r="AE112" t="s">
        <v>212</v>
      </c>
      <c r="AF112" t="s">
        <v>1548</v>
      </c>
      <c r="AG112" s="1" t="s">
        <v>1549</v>
      </c>
    </row>
    <row r="113" spans="1:33" ht="15" customHeight="1" x14ac:dyDescent="0.25">
      <c r="A113" t="s">
        <v>651</v>
      </c>
      <c r="B113" t="s">
        <v>651</v>
      </c>
      <c r="C113">
        <v>8</v>
      </c>
      <c r="D113" t="s">
        <v>34</v>
      </c>
      <c r="E113" t="s">
        <v>120</v>
      </c>
      <c r="F113" t="s">
        <v>121</v>
      </c>
      <c r="G113" t="s">
        <v>122</v>
      </c>
      <c r="H113">
        <v>18</v>
      </c>
      <c r="I113">
        <v>6</v>
      </c>
      <c r="J113" t="s">
        <v>652</v>
      </c>
      <c r="K113">
        <v>157</v>
      </c>
      <c r="L113" t="s">
        <v>85</v>
      </c>
      <c r="M113">
        <v>30</v>
      </c>
      <c r="N113">
        <v>19</v>
      </c>
      <c r="O113">
        <v>17</v>
      </c>
      <c r="P113">
        <v>20</v>
      </c>
      <c r="Q113">
        <v>5</v>
      </c>
      <c r="R113">
        <v>12</v>
      </c>
      <c r="S113">
        <v>13</v>
      </c>
      <c r="T113">
        <v>7</v>
      </c>
      <c r="U113">
        <v>3</v>
      </c>
      <c r="V113">
        <v>8</v>
      </c>
      <c r="W113">
        <v>-3</v>
      </c>
      <c r="X113">
        <v>4</v>
      </c>
      <c r="Y113">
        <v>1</v>
      </c>
      <c r="Z113" t="s">
        <v>36</v>
      </c>
      <c r="AA113" t="s">
        <v>438</v>
      </c>
      <c r="AB113" t="s">
        <v>36</v>
      </c>
      <c r="AC113" t="s">
        <v>320</v>
      </c>
      <c r="AD113" t="s">
        <v>36</v>
      </c>
      <c r="AE113" t="s">
        <v>433</v>
      </c>
      <c r="AF113" t="s">
        <v>129</v>
      </c>
      <c r="AG113" s="1" t="s">
        <v>653</v>
      </c>
    </row>
    <row r="114" spans="1:33" ht="15" customHeight="1" x14ac:dyDescent="0.25">
      <c r="A114" t="s">
        <v>654</v>
      </c>
      <c r="B114" t="s">
        <v>654</v>
      </c>
      <c r="C114">
        <v>5</v>
      </c>
      <c r="D114" t="s">
        <v>103</v>
      </c>
      <c r="E114" t="s">
        <v>339</v>
      </c>
      <c r="F114" t="s">
        <v>36</v>
      </c>
      <c r="G114" t="s">
        <v>122</v>
      </c>
      <c r="H114">
        <v>13</v>
      </c>
      <c r="I114">
        <v>2</v>
      </c>
      <c r="J114" t="s">
        <v>655</v>
      </c>
      <c r="K114">
        <v>105</v>
      </c>
      <c r="L114" t="s">
        <v>210</v>
      </c>
      <c r="M114">
        <v>40</v>
      </c>
      <c r="N114">
        <v>21</v>
      </c>
      <c r="O114">
        <v>8</v>
      </c>
      <c r="P114">
        <v>19</v>
      </c>
      <c r="Q114">
        <v>5</v>
      </c>
      <c r="R114">
        <v>9</v>
      </c>
      <c r="S114">
        <v>6</v>
      </c>
      <c r="T114">
        <v>5</v>
      </c>
      <c r="U114">
        <v>-1</v>
      </c>
      <c r="V114">
        <v>4</v>
      </c>
      <c r="W114">
        <v>-3</v>
      </c>
      <c r="X114">
        <v>-1</v>
      </c>
      <c r="Y114">
        <v>-2</v>
      </c>
      <c r="Z114" t="s">
        <v>631</v>
      </c>
      <c r="AA114" t="s">
        <v>36</v>
      </c>
      <c r="AB114" t="s">
        <v>36</v>
      </c>
      <c r="AC114" t="s">
        <v>36</v>
      </c>
      <c r="AD114" t="s">
        <v>36</v>
      </c>
      <c r="AE114" t="s">
        <v>398</v>
      </c>
      <c r="AF114" t="s">
        <v>339</v>
      </c>
      <c r="AG114" s="1" t="s">
        <v>656</v>
      </c>
    </row>
    <row r="115" spans="1:33" ht="15" customHeight="1" x14ac:dyDescent="0.25">
      <c r="A115" t="s">
        <v>657</v>
      </c>
      <c r="B115" t="s">
        <v>657</v>
      </c>
      <c r="C115">
        <v>1</v>
      </c>
      <c r="D115" t="s">
        <v>34</v>
      </c>
      <c r="E115" t="s">
        <v>76</v>
      </c>
      <c r="F115" t="s">
        <v>36</v>
      </c>
      <c r="G115" t="s">
        <v>58</v>
      </c>
      <c r="H115">
        <v>11</v>
      </c>
      <c r="I115">
        <v>1</v>
      </c>
      <c r="J115" t="s">
        <v>658</v>
      </c>
      <c r="K115">
        <v>26</v>
      </c>
      <c r="L115" t="s">
        <v>659</v>
      </c>
      <c r="M115">
        <v>40</v>
      </c>
      <c r="N115">
        <v>17</v>
      </c>
      <c r="O115">
        <v>13</v>
      </c>
      <c r="P115">
        <v>13</v>
      </c>
      <c r="Q115">
        <v>2</v>
      </c>
      <c r="R115">
        <v>12</v>
      </c>
      <c r="S115">
        <v>8</v>
      </c>
      <c r="T115">
        <v>3</v>
      </c>
      <c r="U115">
        <v>1</v>
      </c>
      <c r="V115">
        <v>1</v>
      </c>
      <c r="W115">
        <v>-4</v>
      </c>
      <c r="X115">
        <v>1</v>
      </c>
      <c r="Y115">
        <v>-1</v>
      </c>
      <c r="Z115" t="s">
        <v>617</v>
      </c>
      <c r="AA115" t="s">
        <v>36</v>
      </c>
      <c r="AB115" t="s">
        <v>36</v>
      </c>
      <c r="AC115" t="s">
        <v>36</v>
      </c>
      <c r="AD115" t="s">
        <v>36</v>
      </c>
      <c r="AE115" t="s">
        <v>449</v>
      </c>
      <c r="AF115" t="s">
        <v>63</v>
      </c>
      <c r="AG115" s="1" t="s">
        <v>1550</v>
      </c>
    </row>
    <row r="116" spans="1:33" ht="15" customHeight="1" x14ac:dyDescent="0.25">
      <c r="A116" t="s">
        <v>661</v>
      </c>
      <c r="B116" t="s">
        <v>662</v>
      </c>
      <c r="C116">
        <v>0.5</v>
      </c>
      <c r="D116" t="s">
        <v>56</v>
      </c>
      <c r="E116" t="s">
        <v>207</v>
      </c>
      <c r="F116" t="s">
        <v>280</v>
      </c>
      <c r="G116" t="s">
        <v>37</v>
      </c>
      <c r="H116">
        <v>18</v>
      </c>
      <c r="I116">
        <v>3</v>
      </c>
      <c r="J116" t="s">
        <v>133</v>
      </c>
      <c r="K116">
        <v>11</v>
      </c>
      <c r="L116" t="s">
        <v>85</v>
      </c>
      <c r="M116">
        <v>30</v>
      </c>
      <c r="N116">
        <v>13</v>
      </c>
      <c r="O116">
        <v>12</v>
      </c>
      <c r="P116">
        <v>12</v>
      </c>
      <c r="Q116">
        <v>10</v>
      </c>
      <c r="R116">
        <v>10</v>
      </c>
      <c r="S116">
        <v>9</v>
      </c>
      <c r="T116">
        <v>1</v>
      </c>
      <c r="U116">
        <v>1</v>
      </c>
      <c r="V116">
        <v>1</v>
      </c>
      <c r="W116">
        <v>0</v>
      </c>
      <c r="X116">
        <v>0</v>
      </c>
      <c r="Y116">
        <v>-1</v>
      </c>
      <c r="Z116" t="s">
        <v>36</v>
      </c>
      <c r="AA116" t="s">
        <v>36</v>
      </c>
      <c r="AB116" t="s">
        <v>36</v>
      </c>
      <c r="AC116" t="s">
        <v>36</v>
      </c>
      <c r="AD116" t="s">
        <v>663</v>
      </c>
      <c r="AE116" t="s">
        <v>51</v>
      </c>
      <c r="AF116" t="s">
        <v>284</v>
      </c>
      <c r="AG116" s="1" t="s">
        <v>1551</v>
      </c>
    </row>
    <row r="117" spans="1:33" ht="15" customHeight="1" x14ac:dyDescent="0.25">
      <c r="A117" t="s">
        <v>665</v>
      </c>
      <c r="B117" t="s">
        <v>662</v>
      </c>
      <c r="C117">
        <v>3</v>
      </c>
      <c r="D117" t="s">
        <v>56</v>
      </c>
      <c r="E117" t="s">
        <v>207</v>
      </c>
      <c r="F117" t="s">
        <v>280</v>
      </c>
      <c r="G117" t="s">
        <v>37</v>
      </c>
      <c r="H117">
        <v>17</v>
      </c>
      <c r="I117">
        <v>4</v>
      </c>
      <c r="J117" t="s">
        <v>154</v>
      </c>
      <c r="K117">
        <v>58</v>
      </c>
      <c r="L117" t="s">
        <v>85</v>
      </c>
      <c r="M117">
        <v>30</v>
      </c>
      <c r="N117">
        <v>15</v>
      </c>
      <c r="O117">
        <v>14</v>
      </c>
      <c r="P117">
        <v>14</v>
      </c>
      <c r="Q117">
        <v>12</v>
      </c>
      <c r="R117">
        <v>10</v>
      </c>
      <c r="S117">
        <v>13</v>
      </c>
      <c r="T117">
        <v>2</v>
      </c>
      <c r="U117">
        <v>2</v>
      </c>
      <c r="V117">
        <v>2</v>
      </c>
      <c r="W117">
        <v>1</v>
      </c>
      <c r="X117">
        <v>0</v>
      </c>
      <c r="Y117">
        <v>1</v>
      </c>
      <c r="Z117" t="s">
        <v>36</v>
      </c>
      <c r="AA117" t="s">
        <v>36</v>
      </c>
      <c r="AB117" t="s">
        <v>36</v>
      </c>
      <c r="AC117" t="s">
        <v>36</v>
      </c>
      <c r="AD117" t="s">
        <v>666</v>
      </c>
      <c r="AE117" t="s">
        <v>51</v>
      </c>
      <c r="AF117" t="s">
        <v>284</v>
      </c>
      <c r="AG117" s="1" t="s">
        <v>1552</v>
      </c>
    </row>
    <row r="118" spans="1:33" ht="15" customHeight="1" x14ac:dyDescent="0.25">
      <c r="A118" t="s">
        <v>668</v>
      </c>
      <c r="B118" t="s">
        <v>668</v>
      </c>
      <c r="C118">
        <v>0</v>
      </c>
      <c r="D118" t="s">
        <v>669</v>
      </c>
      <c r="E118" t="s">
        <v>57</v>
      </c>
      <c r="F118" t="s">
        <v>36</v>
      </c>
      <c r="G118" t="s">
        <v>46</v>
      </c>
      <c r="H118">
        <v>13</v>
      </c>
      <c r="I118">
        <v>2</v>
      </c>
      <c r="J118" t="s">
        <v>670</v>
      </c>
      <c r="K118">
        <v>4</v>
      </c>
      <c r="L118" t="s">
        <v>348</v>
      </c>
      <c r="M118">
        <v>20</v>
      </c>
      <c r="N118">
        <v>4</v>
      </c>
      <c r="O118">
        <v>15</v>
      </c>
      <c r="P118">
        <v>14</v>
      </c>
      <c r="Q118">
        <v>10</v>
      </c>
      <c r="R118">
        <v>10</v>
      </c>
      <c r="S118">
        <v>7</v>
      </c>
      <c r="T118">
        <v>-3</v>
      </c>
      <c r="U118">
        <v>2</v>
      </c>
      <c r="V118">
        <v>2</v>
      </c>
      <c r="W118">
        <v>0</v>
      </c>
      <c r="X118">
        <v>2</v>
      </c>
      <c r="Y118">
        <v>0</v>
      </c>
      <c r="Z118" t="s">
        <v>36</v>
      </c>
      <c r="AA118" t="s">
        <v>36</v>
      </c>
      <c r="AB118" t="s">
        <v>36</v>
      </c>
      <c r="AC118" t="s">
        <v>671</v>
      </c>
      <c r="AD118" t="s">
        <v>36</v>
      </c>
      <c r="AE118" t="s">
        <v>51</v>
      </c>
      <c r="AF118" t="s">
        <v>1528</v>
      </c>
      <c r="AG118" s="1" t="s">
        <v>1553</v>
      </c>
    </row>
    <row r="119" spans="1:33" ht="15" customHeight="1" x14ac:dyDescent="0.25">
      <c r="A119" t="s">
        <v>673</v>
      </c>
      <c r="B119" t="s">
        <v>673</v>
      </c>
      <c r="C119">
        <v>11</v>
      </c>
      <c r="D119" t="s">
        <v>34</v>
      </c>
      <c r="E119" t="s">
        <v>120</v>
      </c>
      <c r="F119" t="s">
        <v>142</v>
      </c>
      <c r="G119" t="s">
        <v>37</v>
      </c>
      <c r="H119">
        <v>18</v>
      </c>
      <c r="I119">
        <v>7</v>
      </c>
      <c r="J119" t="s">
        <v>674</v>
      </c>
      <c r="K119">
        <v>199</v>
      </c>
      <c r="L119" t="s">
        <v>311</v>
      </c>
      <c r="M119">
        <v>30</v>
      </c>
      <c r="N119">
        <v>22</v>
      </c>
      <c r="O119">
        <v>17</v>
      </c>
      <c r="P119">
        <v>21</v>
      </c>
      <c r="Q119">
        <v>12</v>
      </c>
      <c r="R119">
        <v>16</v>
      </c>
      <c r="S119">
        <v>18</v>
      </c>
      <c r="T119">
        <v>10</v>
      </c>
      <c r="U119">
        <v>7</v>
      </c>
      <c r="V119">
        <v>5</v>
      </c>
      <c r="W119">
        <v>1</v>
      </c>
      <c r="X119">
        <v>7</v>
      </c>
      <c r="Y119">
        <v>8</v>
      </c>
      <c r="Z119" t="s">
        <v>36</v>
      </c>
      <c r="AA119" t="s">
        <v>146</v>
      </c>
      <c r="AB119" t="s">
        <v>36</v>
      </c>
      <c r="AC119" t="s">
        <v>115</v>
      </c>
      <c r="AD119" t="s">
        <v>36</v>
      </c>
      <c r="AE119" t="s">
        <v>675</v>
      </c>
      <c r="AF119" t="s">
        <v>148</v>
      </c>
      <c r="AG119" s="1" t="s">
        <v>1554</v>
      </c>
    </row>
    <row r="120" spans="1:33" ht="15" customHeight="1" x14ac:dyDescent="0.25">
      <c r="A120" t="s">
        <v>677</v>
      </c>
      <c r="B120" t="s">
        <v>677</v>
      </c>
      <c r="C120">
        <v>8</v>
      </c>
      <c r="D120" t="s">
        <v>103</v>
      </c>
      <c r="E120" t="s">
        <v>76</v>
      </c>
      <c r="F120" t="s">
        <v>36</v>
      </c>
      <c r="G120" t="s">
        <v>58</v>
      </c>
      <c r="H120">
        <v>15</v>
      </c>
      <c r="I120">
        <v>4</v>
      </c>
      <c r="J120" t="s">
        <v>366</v>
      </c>
      <c r="K120">
        <v>184</v>
      </c>
      <c r="L120" t="s">
        <v>678</v>
      </c>
      <c r="M120">
        <v>40</v>
      </c>
      <c r="N120">
        <v>20</v>
      </c>
      <c r="O120">
        <v>12</v>
      </c>
      <c r="P120">
        <v>20</v>
      </c>
      <c r="Q120">
        <v>2</v>
      </c>
      <c r="R120">
        <v>10</v>
      </c>
      <c r="S120">
        <v>7</v>
      </c>
      <c r="T120">
        <v>5</v>
      </c>
      <c r="U120">
        <v>1</v>
      </c>
      <c r="V120">
        <v>5</v>
      </c>
      <c r="W120">
        <v>-4</v>
      </c>
      <c r="X120">
        <v>0</v>
      </c>
      <c r="Y120">
        <v>-2</v>
      </c>
      <c r="Z120" t="s">
        <v>293</v>
      </c>
      <c r="AA120" t="s">
        <v>36</v>
      </c>
      <c r="AB120" t="s">
        <v>36</v>
      </c>
      <c r="AC120" t="s">
        <v>407</v>
      </c>
      <c r="AD120" t="s">
        <v>36</v>
      </c>
      <c r="AE120" t="s">
        <v>679</v>
      </c>
      <c r="AF120" t="s">
        <v>63</v>
      </c>
      <c r="AG120" s="1" t="s">
        <v>680</v>
      </c>
    </row>
    <row r="121" spans="1:33" ht="15" customHeight="1" x14ac:dyDescent="0.25">
      <c r="A121" t="s">
        <v>681</v>
      </c>
      <c r="B121" t="s">
        <v>681</v>
      </c>
      <c r="C121">
        <v>14</v>
      </c>
      <c r="D121" t="s">
        <v>34</v>
      </c>
      <c r="E121" t="s">
        <v>120</v>
      </c>
      <c r="F121" t="s">
        <v>142</v>
      </c>
      <c r="G121" t="s">
        <v>37</v>
      </c>
      <c r="H121">
        <v>18</v>
      </c>
      <c r="I121">
        <v>7</v>
      </c>
      <c r="J121" t="s">
        <v>682</v>
      </c>
      <c r="K121">
        <v>228</v>
      </c>
      <c r="L121" t="s">
        <v>210</v>
      </c>
      <c r="M121">
        <v>40</v>
      </c>
      <c r="N121">
        <v>21</v>
      </c>
      <c r="O121">
        <v>14</v>
      </c>
      <c r="P121">
        <v>18</v>
      </c>
      <c r="Q121">
        <v>18</v>
      </c>
      <c r="R121">
        <v>15</v>
      </c>
      <c r="S121">
        <v>18</v>
      </c>
      <c r="T121">
        <v>5</v>
      </c>
      <c r="U121">
        <v>7</v>
      </c>
      <c r="V121">
        <v>9</v>
      </c>
      <c r="W121">
        <v>4</v>
      </c>
      <c r="X121">
        <v>7</v>
      </c>
      <c r="Y121">
        <v>9</v>
      </c>
      <c r="Z121" t="s">
        <v>683</v>
      </c>
      <c r="AA121" t="s">
        <v>36</v>
      </c>
      <c r="AB121" t="s">
        <v>36</v>
      </c>
      <c r="AC121" t="s">
        <v>684</v>
      </c>
      <c r="AD121" t="s">
        <v>36</v>
      </c>
      <c r="AE121" t="s">
        <v>685</v>
      </c>
      <c r="AF121" t="s">
        <v>148</v>
      </c>
      <c r="AG121" s="1" t="s">
        <v>1555</v>
      </c>
    </row>
    <row r="122" spans="1:33" ht="15" customHeight="1" x14ac:dyDescent="0.25">
      <c r="A122" t="s">
        <v>687</v>
      </c>
      <c r="B122" t="s">
        <v>687</v>
      </c>
      <c r="C122">
        <v>1</v>
      </c>
      <c r="D122" t="s">
        <v>669</v>
      </c>
      <c r="E122" t="s">
        <v>120</v>
      </c>
      <c r="F122" t="s">
        <v>142</v>
      </c>
      <c r="G122" t="s">
        <v>37</v>
      </c>
      <c r="H122">
        <v>13</v>
      </c>
      <c r="I122">
        <v>3</v>
      </c>
      <c r="J122" t="s">
        <v>688</v>
      </c>
      <c r="K122">
        <v>21</v>
      </c>
      <c r="L122" t="s">
        <v>348</v>
      </c>
      <c r="M122">
        <v>20</v>
      </c>
      <c r="N122">
        <v>6</v>
      </c>
      <c r="O122">
        <v>17</v>
      </c>
      <c r="P122">
        <v>13</v>
      </c>
      <c r="Q122">
        <v>11</v>
      </c>
      <c r="R122">
        <v>12</v>
      </c>
      <c r="S122">
        <v>14</v>
      </c>
      <c r="T122">
        <v>-2</v>
      </c>
      <c r="U122">
        <v>3</v>
      </c>
      <c r="V122">
        <v>1</v>
      </c>
      <c r="W122">
        <v>0</v>
      </c>
      <c r="X122">
        <v>1</v>
      </c>
      <c r="Y122">
        <v>2</v>
      </c>
      <c r="Z122" t="s">
        <v>689</v>
      </c>
      <c r="AA122" t="s">
        <v>146</v>
      </c>
      <c r="AB122" t="s">
        <v>36</v>
      </c>
      <c r="AC122" t="s">
        <v>115</v>
      </c>
      <c r="AD122" t="s">
        <v>36</v>
      </c>
      <c r="AE122" t="s">
        <v>307</v>
      </c>
      <c r="AF122" t="s">
        <v>690</v>
      </c>
      <c r="AG122" s="1" t="s">
        <v>1556</v>
      </c>
    </row>
    <row r="123" spans="1:33" ht="15" customHeight="1" x14ac:dyDescent="0.25">
      <c r="A123" t="s">
        <v>692</v>
      </c>
      <c r="B123" t="s">
        <v>692</v>
      </c>
      <c r="C123">
        <v>4</v>
      </c>
      <c r="D123" t="s">
        <v>56</v>
      </c>
      <c r="E123" t="s">
        <v>120</v>
      </c>
      <c r="F123" t="s">
        <v>36</v>
      </c>
      <c r="G123" t="s">
        <v>159</v>
      </c>
      <c r="H123">
        <v>15</v>
      </c>
      <c r="I123">
        <v>3</v>
      </c>
      <c r="J123" t="s">
        <v>693</v>
      </c>
      <c r="K123">
        <v>66</v>
      </c>
      <c r="L123" t="s">
        <v>311</v>
      </c>
      <c r="M123">
        <v>30</v>
      </c>
      <c r="N123">
        <v>8</v>
      </c>
      <c r="O123">
        <v>17</v>
      </c>
      <c r="P123">
        <v>13</v>
      </c>
      <c r="Q123">
        <v>15</v>
      </c>
      <c r="R123">
        <v>12</v>
      </c>
      <c r="S123">
        <v>20</v>
      </c>
      <c r="T123">
        <v>-1</v>
      </c>
      <c r="U123">
        <v>3</v>
      </c>
      <c r="V123">
        <v>1</v>
      </c>
      <c r="W123">
        <v>2</v>
      </c>
      <c r="X123">
        <v>1</v>
      </c>
      <c r="Y123">
        <v>5</v>
      </c>
      <c r="Z123" t="s">
        <v>694</v>
      </c>
      <c r="AA123" t="s">
        <v>695</v>
      </c>
      <c r="AB123" t="s">
        <v>36</v>
      </c>
      <c r="AC123" t="s">
        <v>36</v>
      </c>
      <c r="AD123" t="s">
        <v>36</v>
      </c>
      <c r="AE123" t="s">
        <v>212</v>
      </c>
      <c r="AF123" t="s">
        <v>696</v>
      </c>
      <c r="AG123" s="1" t="s">
        <v>1557</v>
      </c>
    </row>
    <row r="124" spans="1:33" ht="15" customHeight="1" x14ac:dyDescent="0.25">
      <c r="A124" t="s">
        <v>698</v>
      </c>
      <c r="B124" t="s">
        <v>698</v>
      </c>
      <c r="C124">
        <v>6</v>
      </c>
      <c r="D124" t="s">
        <v>34</v>
      </c>
      <c r="E124" t="s">
        <v>45</v>
      </c>
      <c r="F124" t="s">
        <v>36</v>
      </c>
      <c r="G124" t="s">
        <v>46</v>
      </c>
      <c r="H124">
        <v>14</v>
      </c>
      <c r="I124">
        <v>7</v>
      </c>
      <c r="J124" t="s">
        <v>699</v>
      </c>
      <c r="K124">
        <v>97</v>
      </c>
      <c r="L124" t="s">
        <v>700</v>
      </c>
      <c r="M124">
        <v>50</v>
      </c>
      <c r="N124">
        <v>16</v>
      </c>
      <c r="O124">
        <v>19</v>
      </c>
      <c r="P124">
        <v>14</v>
      </c>
      <c r="Q124">
        <v>10</v>
      </c>
      <c r="R124">
        <v>15</v>
      </c>
      <c r="S124">
        <v>11</v>
      </c>
      <c r="T124">
        <v>3</v>
      </c>
      <c r="U124">
        <v>4</v>
      </c>
      <c r="V124">
        <v>2</v>
      </c>
      <c r="W124">
        <v>0</v>
      </c>
      <c r="X124">
        <v>2</v>
      </c>
      <c r="Y124">
        <v>0</v>
      </c>
      <c r="Z124" t="s">
        <v>701</v>
      </c>
      <c r="AA124" t="s">
        <v>326</v>
      </c>
      <c r="AB124" t="s">
        <v>36</v>
      </c>
      <c r="AC124" t="s">
        <v>702</v>
      </c>
      <c r="AD124" t="s">
        <v>36</v>
      </c>
      <c r="AE124" t="s">
        <v>313</v>
      </c>
      <c r="AF124" t="s">
        <v>703</v>
      </c>
      <c r="AG124" s="1" t="s">
        <v>1558</v>
      </c>
    </row>
    <row r="125" spans="1:33" ht="15" customHeight="1" x14ac:dyDescent="0.25">
      <c r="A125" t="s">
        <v>705</v>
      </c>
      <c r="B125" t="s">
        <v>705</v>
      </c>
      <c r="C125">
        <v>16</v>
      </c>
      <c r="D125" t="s">
        <v>34</v>
      </c>
      <c r="E125" t="s">
        <v>57</v>
      </c>
      <c r="F125" t="s">
        <v>36</v>
      </c>
      <c r="G125" t="s">
        <v>58</v>
      </c>
      <c r="H125">
        <v>20</v>
      </c>
      <c r="I125">
        <v>9</v>
      </c>
      <c r="J125" t="s">
        <v>706</v>
      </c>
      <c r="K125">
        <v>252</v>
      </c>
      <c r="L125" t="s">
        <v>85</v>
      </c>
      <c r="M125">
        <v>30</v>
      </c>
      <c r="N125">
        <v>24</v>
      </c>
      <c r="O125">
        <v>9</v>
      </c>
      <c r="P125">
        <v>20</v>
      </c>
      <c r="Q125">
        <v>3</v>
      </c>
      <c r="R125">
        <v>11</v>
      </c>
      <c r="S125">
        <v>1</v>
      </c>
      <c r="T125">
        <v>7</v>
      </c>
      <c r="U125">
        <v>-1</v>
      </c>
      <c r="V125">
        <v>5</v>
      </c>
      <c r="W125">
        <v>-4</v>
      </c>
      <c r="X125">
        <v>0</v>
      </c>
      <c r="Y125">
        <v>-5</v>
      </c>
      <c r="Z125" t="s">
        <v>36</v>
      </c>
      <c r="AA125" t="s">
        <v>36</v>
      </c>
      <c r="AB125" t="s">
        <v>36</v>
      </c>
      <c r="AC125" t="s">
        <v>707</v>
      </c>
      <c r="AD125" t="s">
        <v>36</v>
      </c>
      <c r="AE125" t="s">
        <v>708</v>
      </c>
      <c r="AF125" t="s">
        <v>1559</v>
      </c>
      <c r="AG125" s="1" t="s">
        <v>1560</v>
      </c>
    </row>
    <row r="126" spans="1:33" ht="15" customHeight="1" x14ac:dyDescent="0.25">
      <c r="A126" t="s">
        <v>711</v>
      </c>
      <c r="B126" t="s">
        <v>711</v>
      </c>
      <c r="C126">
        <v>3</v>
      </c>
      <c r="D126" t="s">
        <v>82</v>
      </c>
      <c r="E126" t="s">
        <v>83</v>
      </c>
      <c r="F126" t="s">
        <v>36</v>
      </c>
      <c r="G126" t="s">
        <v>46</v>
      </c>
      <c r="H126">
        <v>18</v>
      </c>
      <c r="I126">
        <v>0</v>
      </c>
      <c r="J126" t="s">
        <v>137</v>
      </c>
      <c r="K126">
        <v>52</v>
      </c>
      <c r="L126" t="s">
        <v>85</v>
      </c>
      <c r="M126">
        <v>30</v>
      </c>
      <c r="N126">
        <v>16</v>
      </c>
      <c r="O126">
        <v>11</v>
      </c>
      <c r="P126">
        <v>14</v>
      </c>
      <c r="Q126">
        <v>11</v>
      </c>
      <c r="R126">
        <v>11</v>
      </c>
      <c r="S126">
        <v>15</v>
      </c>
      <c r="T126">
        <v>3</v>
      </c>
      <c r="U126">
        <v>0</v>
      </c>
      <c r="V126">
        <v>4</v>
      </c>
      <c r="W126">
        <v>0</v>
      </c>
      <c r="X126">
        <v>2</v>
      </c>
      <c r="Y126">
        <v>2</v>
      </c>
      <c r="Z126" t="s">
        <v>36</v>
      </c>
      <c r="AA126" t="s">
        <v>36</v>
      </c>
      <c r="AB126" t="s">
        <v>36</v>
      </c>
      <c r="AC126" t="s">
        <v>334</v>
      </c>
      <c r="AD126" t="s">
        <v>712</v>
      </c>
      <c r="AE126" t="s">
        <v>99</v>
      </c>
      <c r="AF126" t="s">
        <v>100</v>
      </c>
      <c r="AG126" s="1" t="s">
        <v>713</v>
      </c>
    </row>
    <row r="127" spans="1:33" ht="15" customHeight="1" x14ac:dyDescent="0.25">
      <c r="A127" t="s">
        <v>714</v>
      </c>
      <c r="B127" t="s">
        <v>715</v>
      </c>
      <c r="C127">
        <v>0.125</v>
      </c>
      <c r="D127" t="s">
        <v>66</v>
      </c>
      <c r="E127" t="s">
        <v>174</v>
      </c>
      <c r="F127" t="s">
        <v>36</v>
      </c>
      <c r="G127" t="s">
        <v>46</v>
      </c>
      <c r="H127">
        <v>14</v>
      </c>
      <c r="I127">
        <v>2</v>
      </c>
      <c r="J127" t="s">
        <v>716</v>
      </c>
      <c r="K127">
        <v>7</v>
      </c>
      <c r="L127" t="s">
        <v>85</v>
      </c>
      <c r="M127">
        <v>30</v>
      </c>
      <c r="N127">
        <v>7</v>
      </c>
      <c r="O127">
        <v>15</v>
      </c>
      <c r="P127">
        <v>9</v>
      </c>
      <c r="Q127">
        <v>8</v>
      </c>
      <c r="R127">
        <v>7</v>
      </c>
      <c r="S127">
        <v>8</v>
      </c>
      <c r="T127">
        <v>-2</v>
      </c>
      <c r="U127">
        <v>2</v>
      </c>
      <c r="V127">
        <v>-1</v>
      </c>
      <c r="W127">
        <v>-1</v>
      </c>
      <c r="X127">
        <v>-2</v>
      </c>
      <c r="Y127">
        <v>-1</v>
      </c>
      <c r="Z127" t="s">
        <v>36</v>
      </c>
      <c r="AA127" t="s">
        <v>36</v>
      </c>
      <c r="AB127" t="s">
        <v>36</v>
      </c>
      <c r="AC127" t="s">
        <v>36</v>
      </c>
      <c r="AD127" t="s">
        <v>554</v>
      </c>
      <c r="AE127" t="s">
        <v>717</v>
      </c>
      <c r="AF127" t="s">
        <v>186</v>
      </c>
      <c r="AG127" s="1" t="s">
        <v>1561</v>
      </c>
    </row>
    <row r="128" spans="1:33" ht="15" customHeight="1" x14ac:dyDescent="0.25">
      <c r="A128" t="s">
        <v>719</v>
      </c>
      <c r="B128" t="s">
        <v>719</v>
      </c>
      <c r="C128">
        <v>23</v>
      </c>
      <c r="D128" t="s">
        <v>194</v>
      </c>
      <c r="E128" t="s">
        <v>76</v>
      </c>
      <c r="F128" t="s">
        <v>720</v>
      </c>
      <c r="G128" t="s">
        <v>122</v>
      </c>
      <c r="H128">
        <v>18</v>
      </c>
      <c r="I128">
        <v>14</v>
      </c>
      <c r="J128" t="s">
        <v>234</v>
      </c>
      <c r="K128">
        <v>481</v>
      </c>
      <c r="L128" t="s">
        <v>721</v>
      </c>
      <c r="M128">
        <v>30</v>
      </c>
      <c r="N128">
        <v>30</v>
      </c>
      <c r="O128">
        <v>11</v>
      </c>
      <c r="P128">
        <v>26</v>
      </c>
      <c r="Q128">
        <v>22</v>
      </c>
      <c r="R128">
        <v>18</v>
      </c>
      <c r="S128">
        <v>20</v>
      </c>
      <c r="T128">
        <v>17</v>
      </c>
      <c r="U128">
        <v>7</v>
      </c>
      <c r="V128">
        <v>15</v>
      </c>
      <c r="W128">
        <v>6</v>
      </c>
      <c r="X128">
        <v>11</v>
      </c>
      <c r="Y128">
        <v>5</v>
      </c>
      <c r="Z128" t="s">
        <v>722</v>
      </c>
      <c r="AA128" t="s">
        <v>36</v>
      </c>
      <c r="AB128" t="s">
        <v>36</v>
      </c>
      <c r="AC128" t="s">
        <v>723</v>
      </c>
      <c r="AD128" t="s">
        <v>36</v>
      </c>
      <c r="AE128" t="s">
        <v>724</v>
      </c>
      <c r="AF128" t="s">
        <v>1562</v>
      </c>
      <c r="AG128" s="1" t="s">
        <v>1563</v>
      </c>
    </row>
    <row r="129" spans="1:33" ht="15" customHeight="1" x14ac:dyDescent="0.25">
      <c r="A129" t="s">
        <v>727</v>
      </c>
      <c r="B129" t="s">
        <v>727</v>
      </c>
      <c r="C129">
        <v>4</v>
      </c>
      <c r="D129" t="s">
        <v>34</v>
      </c>
      <c r="E129" t="s">
        <v>120</v>
      </c>
      <c r="F129" t="s">
        <v>36</v>
      </c>
      <c r="G129" t="s">
        <v>122</v>
      </c>
      <c r="H129">
        <v>13</v>
      </c>
      <c r="I129">
        <v>1</v>
      </c>
      <c r="J129" t="s">
        <v>699</v>
      </c>
      <c r="K129">
        <v>97</v>
      </c>
      <c r="L129" t="s">
        <v>210</v>
      </c>
      <c r="M129">
        <v>40</v>
      </c>
      <c r="N129">
        <v>16</v>
      </c>
      <c r="O129">
        <v>13</v>
      </c>
      <c r="P129">
        <v>15</v>
      </c>
      <c r="Q129">
        <v>14</v>
      </c>
      <c r="R129">
        <v>15</v>
      </c>
      <c r="S129">
        <v>16</v>
      </c>
      <c r="T129">
        <v>3</v>
      </c>
      <c r="U129">
        <v>1</v>
      </c>
      <c r="V129">
        <v>2</v>
      </c>
      <c r="W129">
        <v>2</v>
      </c>
      <c r="X129">
        <v>2</v>
      </c>
      <c r="Y129">
        <v>3</v>
      </c>
      <c r="Z129" t="s">
        <v>728</v>
      </c>
      <c r="AA129" t="s">
        <v>36</v>
      </c>
      <c r="AB129" t="s">
        <v>36</v>
      </c>
      <c r="AC129" t="s">
        <v>36</v>
      </c>
      <c r="AD129" t="s">
        <v>36</v>
      </c>
      <c r="AE129" t="s">
        <v>612</v>
      </c>
      <c r="AF129" t="s">
        <v>729</v>
      </c>
      <c r="AG129" s="1" t="s">
        <v>730</v>
      </c>
    </row>
    <row r="130" spans="1:33" ht="15" customHeight="1" x14ac:dyDescent="0.25">
      <c r="A130" t="s">
        <v>731</v>
      </c>
      <c r="B130" t="s">
        <v>731</v>
      </c>
      <c r="C130">
        <v>0</v>
      </c>
      <c r="D130" t="s">
        <v>56</v>
      </c>
      <c r="E130" t="s">
        <v>120</v>
      </c>
      <c r="F130" t="s">
        <v>142</v>
      </c>
      <c r="G130" t="s">
        <v>37</v>
      </c>
      <c r="H130">
        <v>9</v>
      </c>
      <c r="I130">
        <v>-3</v>
      </c>
      <c r="J130" t="s">
        <v>390</v>
      </c>
      <c r="K130">
        <v>9</v>
      </c>
      <c r="L130" t="s">
        <v>96</v>
      </c>
      <c r="M130">
        <v>20</v>
      </c>
      <c r="N130">
        <v>10</v>
      </c>
      <c r="O130">
        <v>5</v>
      </c>
      <c r="P130">
        <v>11</v>
      </c>
      <c r="Q130">
        <v>1</v>
      </c>
      <c r="R130">
        <v>11</v>
      </c>
      <c r="S130">
        <v>3</v>
      </c>
      <c r="T130">
        <v>0</v>
      </c>
      <c r="U130">
        <v>-3</v>
      </c>
      <c r="V130">
        <v>0</v>
      </c>
      <c r="W130">
        <v>-5</v>
      </c>
      <c r="X130">
        <v>0</v>
      </c>
      <c r="Y130">
        <v>-4</v>
      </c>
      <c r="Z130" t="s">
        <v>36</v>
      </c>
      <c r="AA130" t="s">
        <v>146</v>
      </c>
      <c r="AB130" t="s">
        <v>36</v>
      </c>
      <c r="AC130" t="s">
        <v>127</v>
      </c>
      <c r="AD130" t="s">
        <v>36</v>
      </c>
      <c r="AE130" t="s">
        <v>156</v>
      </c>
      <c r="AF130" t="s">
        <v>1548</v>
      </c>
      <c r="AG130" s="1" t="s">
        <v>1564</v>
      </c>
    </row>
    <row r="131" spans="1:33" ht="15" customHeight="1" x14ac:dyDescent="0.25">
      <c r="A131" t="s">
        <v>733</v>
      </c>
      <c r="B131" t="s">
        <v>733</v>
      </c>
      <c r="C131">
        <v>21</v>
      </c>
      <c r="D131" t="s">
        <v>56</v>
      </c>
      <c r="E131" t="s">
        <v>518</v>
      </c>
      <c r="F131" t="s">
        <v>734</v>
      </c>
      <c r="G131" t="s">
        <v>159</v>
      </c>
      <c r="H131">
        <v>20</v>
      </c>
      <c r="I131">
        <v>17</v>
      </c>
      <c r="J131" t="s">
        <v>735</v>
      </c>
      <c r="K131">
        <v>315</v>
      </c>
      <c r="L131" t="s">
        <v>85</v>
      </c>
      <c r="M131">
        <v>30</v>
      </c>
      <c r="N131">
        <v>11</v>
      </c>
      <c r="O131">
        <v>16</v>
      </c>
      <c r="P131">
        <v>16</v>
      </c>
      <c r="Q131">
        <v>21</v>
      </c>
      <c r="R131">
        <v>14</v>
      </c>
      <c r="S131">
        <v>16</v>
      </c>
      <c r="T131">
        <v>0</v>
      </c>
      <c r="U131">
        <v>10</v>
      </c>
      <c r="V131">
        <v>10</v>
      </c>
      <c r="W131">
        <v>12</v>
      </c>
      <c r="X131">
        <v>9</v>
      </c>
      <c r="Y131">
        <v>3</v>
      </c>
      <c r="Z131" t="s">
        <v>736</v>
      </c>
      <c r="AA131" t="s">
        <v>126</v>
      </c>
      <c r="AB131" t="s">
        <v>36</v>
      </c>
      <c r="AC131" t="s">
        <v>737</v>
      </c>
      <c r="AD131" t="s">
        <v>738</v>
      </c>
      <c r="AE131" t="s">
        <v>128</v>
      </c>
      <c r="AF131" t="s">
        <v>739</v>
      </c>
      <c r="AG131" s="1" t="s">
        <v>1565</v>
      </c>
    </row>
    <row r="132" spans="1:33" ht="15" customHeight="1" x14ac:dyDescent="0.25">
      <c r="A132" t="s">
        <v>741</v>
      </c>
      <c r="B132" t="s">
        <v>742</v>
      </c>
      <c r="C132">
        <v>6</v>
      </c>
      <c r="D132" t="s">
        <v>82</v>
      </c>
      <c r="E132" t="s">
        <v>83</v>
      </c>
      <c r="F132" t="s">
        <v>734</v>
      </c>
      <c r="G132" t="s">
        <v>46</v>
      </c>
      <c r="H132">
        <v>15</v>
      </c>
      <c r="I132">
        <v>2</v>
      </c>
      <c r="J132" t="s">
        <v>743</v>
      </c>
      <c r="K132">
        <v>81</v>
      </c>
      <c r="L132" t="s">
        <v>85</v>
      </c>
      <c r="M132">
        <v>30</v>
      </c>
      <c r="N132">
        <v>9</v>
      </c>
      <c r="O132">
        <v>14</v>
      </c>
      <c r="P132">
        <v>11</v>
      </c>
      <c r="Q132">
        <v>17</v>
      </c>
      <c r="R132">
        <v>12</v>
      </c>
      <c r="S132">
        <v>11</v>
      </c>
      <c r="T132">
        <v>-1</v>
      </c>
      <c r="U132">
        <v>2</v>
      </c>
      <c r="V132">
        <v>0</v>
      </c>
      <c r="W132">
        <v>6</v>
      </c>
      <c r="X132">
        <v>4</v>
      </c>
      <c r="Y132">
        <v>0</v>
      </c>
      <c r="Z132" t="s">
        <v>744</v>
      </c>
      <c r="AA132" t="s">
        <v>36</v>
      </c>
      <c r="AB132" t="s">
        <v>36</v>
      </c>
      <c r="AC132" t="s">
        <v>36</v>
      </c>
      <c r="AD132" t="s">
        <v>745</v>
      </c>
      <c r="AE132" t="s">
        <v>638</v>
      </c>
      <c r="AF132" t="s">
        <v>428</v>
      </c>
      <c r="AG132" s="1" t="s">
        <v>1566</v>
      </c>
    </row>
    <row r="133" spans="1:33" ht="15" customHeight="1" x14ac:dyDescent="0.25">
      <c r="A133" t="s">
        <v>747</v>
      </c>
      <c r="B133" t="s">
        <v>742</v>
      </c>
      <c r="C133">
        <v>12</v>
      </c>
      <c r="D133" t="s">
        <v>82</v>
      </c>
      <c r="E133" t="s">
        <v>83</v>
      </c>
      <c r="F133" t="s">
        <v>734</v>
      </c>
      <c r="G133" t="s">
        <v>46</v>
      </c>
      <c r="H133">
        <v>17</v>
      </c>
      <c r="I133">
        <v>7</v>
      </c>
      <c r="J133" t="s">
        <v>748</v>
      </c>
      <c r="K133">
        <v>170</v>
      </c>
      <c r="L133" t="s">
        <v>85</v>
      </c>
      <c r="M133">
        <v>30</v>
      </c>
      <c r="N133">
        <v>10</v>
      </c>
      <c r="O133">
        <v>14</v>
      </c>
      <c r="P133">
        <v>12</v>
      </c>
      <c r="Q133">
        <v>20</v>
      </c>
      <c r="R133">
        <v>15</v>
      </c>
      <c r="S133">
        <v>16</v>
      </c>
      <c r="T133">
        <v>0</v>
      </c>
      <c r="U133">
        <v>2</v>
      </c>
      <c r="V133">
        <v>1</v>
      </c>
      <c r="W133">
        <v>9</v>
      </c>
      <c r="X133">
        <v>6</v>
      </c>
      <c r="Y133">
        <v>3</v>
      </c>
      <c r="Z133" t="s">
        <v>749</v>
      </c>
      <c r="AA133" t="s">
        <v>36</v>
      </c>
      <c r="AB133" t="s">
        <v>36</v>
      </c>
      <c r="AC133" t="s">
        <v>750</v>
      </c>
      <c r="AD133" t="s">
        <v>745</v>
      </c>
      <c r="AE133" t="s">
        <v>89</v>
      </c>
      <c r="AF133" t="s">
        <v>751</v>
      </c>
      <c r="AG133" s="1" t="s">
        <v>1567</v>
      </c>
    </row>
    <row r="134" spans="1:33" ht="15" customHeight="1" x14ac:dyDescent="0.25">
      <c r="A134" t="s">
        <v>753</v>
      </c>
      <c r="B134" t="s">
        <v>753</v>
      </c>
      <c r="C134">
        <v>0.5</v>
      </c>
      <c r="D134" t="s">
        <v>66</v>
      </c>
      <c r="E134" t="s">
        <v>45</v>
      </c>
      <c r="F134" t="s">
        <v>36</v>
      </c>
      <c r="G134" t="s">
        <v>330</v>
      </c>
      <c r="H134">
        <v>14</v>
      </c>
      <c r="I134">
        <v>2</v>
      </c>
      <c r="J134" t="s">
        <v>754</v>
      </c>
      <c r="K134">
        <v>13</v>
      </c>
      <c r="L134" t="s">
        <v>85</v>
      </c>
      <c r="M134">
        <v>30</v>
      </c>
      <c r="N134">
        <v>7</v>
      </c>
      <c r="O134">
        <v>15</v>
      </c>
      <c r="P134">
        <v>12</v>
      </c>
      <c r="Q134">
        <v>8</v>
      </c>
      <c r="R134">
        <v>11</v>
      </c>
      <c r="S134">
        <v>10</v>
      </c>
      <c r="T134">
        <v>-2</v>
      </c>
      <c r="U134">
        <v>2</v>
      </c>
      <c r="V134">
        <v>1</v>
      </c>
      <c r="W134">
        <v>-1</v>
      </c>
      <c r="X134">
        <v>0</v>
      </c>
      <c r="Y134">
        <v>0</v>
      </c>
      <c r="Z134" t="s">
        <v>36</v>
      </c>
      <c r="AA134" t="s">
        <v>36</v>
      </c>
      <c r="AB134" t="s">
        <v>36</v>
      </c>
      <c r="AC134" t="s">
        <v>98</v>
      </c>
      <c r="AD134" t="s">
        <v>36</v>
      </c>
      <c r="AE134" t="s">
        <v>51</v>
      </c>
      <c r="AF134" t="s">
        <v>117</v>
      </c>
      <c r="AG134" s="1" t="s">
        <v>1568</v>
      </c>
    </row>
    <row r="135" spans="1:33" ht="15" customHeight="1" x14ac:dyDescent="0.25">
      <c r="A135" t="s">
        <v>756</v>
      </c>
      <c r="B135" t="s">
        <v>756</v>
      </c>
      <c r="C135">
        <v>3</v>
      </c>
      <c r="D135" t="s">
        <v>34</v>
      </c>
      <c r="E135" t="s">
        <v>76</v>
      </c>
      <c r="F135" t="s">
        <v>36</v>
      </c>
      <c r="G135" t="s">
        <v>37</v>
      </c>
      <c r="H135">
        <v>14</v>
      </c>
      <c r="I135">
        <v>3</v>
      </c>
      <c r="J135" t="s">
        <v>201</v>
      </c>
      <c r="K135">
        <v>68</v>
      </c>
      <c r="L135" t="s">
        <v>757</v>
      </c>
      <c r="M135">
        <v>30</v>
      </c>
      <c r="N135">
        <v>17</v>
      </c>
      <c r="O135">
        <v>16</v>
      </c>
      <c r="P135">
        <v>17</v>
      </c>
      <c r="Q135">
        <v>7</v>
      </c>
      <c r="R135">
        <v>12</v>
      </c>
      <c r="S135">
        <v>8</v>
      </c>
      <c r="T135">
        <v>3</v>
      </c>
      <c r="U135">
        <v>3</v>
      </c>
      <c r="V135">
        <v>3</v>
      </c>
      <c r="W135">
        <v>-2</v>
      </c>
      <c r="X135">
        <v>1</v>
      </c>
      <c r="Y135">
        <v>-1</v>
      </c>
      <c r="Z135" t="s">
        <v>36</v>
      </c>
      <c r="AA135" t="s">
        <v>36</v>
      </c>
      <c r="AB135" t="s">
        <v>36</v>
      </c>
      <c r="AC135" t="s">
        <v>36</v>
      </c>
      <c r="AD135" t="s">
        <v>36</v>
      </c>
      <c r="AE135" t="s">
        <v>283</v>
      </c>
      <c r="AF135" t="s">
        <v>170</v>
      </c>
      <c r="AG135" s="1" t="s">
        <v>758</v>
      </c>
    </row>
    <row r="136" spans="1:33" ht="15" customHeight="1" x14ac:dyDescent="0.25">
      <c r="A136" t="s">
        <v>759</v>
      </c>
      <c r="B136" t="s">
        <v>759</v>
      </c>
      <c r="C136">
        <v>16</v>
      </c>
      <c r="D136" t="s">
        <v>34</v>
      </c>
      <c r="E136" t="s">
        <v>120</v>
      </c>
      <c r="F136" t="s">
        <v>121</v>
      </c>
      <c r="G136" t="s">
        <v>122</v>
      </c>
      <c r="H136">
        <v>16</v>
      </c>
      <c r="I136">
        <v>10</v>
      </c>
      <c r="J136" t="s">
        <v>760</v>
      </c>
      <c r="K136">
        <v>220</v>
      </c>
      <c r="L136" t="s">
        <v>761</v>
      </c>
      <c r="M136">
        <v>40</v>
      </c>
      <c r="N136">
        <v>18</v>
      </c>
      <c r="O136">
        <v>20</v>
      </c>
      <c r="P136">
        <v>20</v>
      </c>
      <c r="Q136">
        <v>18</v>
      </c>
      <c r="R136">
        <v>16</v>
      </c>
      <c r="S136">
        <v>20</v>
      </c>
      <c r="T136">
        <v>9</v>
      </c>
      <c r="U136">
        <v>5</v>
      </c>
      <c r="V136">
        <v>10</v>
      </c>
      <c r="W136">
        <v>4</v>
      </c>
      <c r="X136">
        <v>8</v>
      </c>
      <c r="Y136">
        <v>10</v>
      </c>
      <c r="Z136" t="s">
        <v>312</v>
      </c>
      <c r="AA136" t="s">
        <v>438</v>
      </c>
      <c r="AB136" t="s">
        <v>36</v>
      </c>
      <c r="AC136" t="s">
        <v>320</v>
      </c>
      <c r="AD136" t="s">
        <v>36</v>
      </c>
      <c r="AE136" t="s">
        <v>762</v>
      </c>
      <c r="AF136" t="s">
        <v>129</v>
      </c>
      <c r="AG136" s="1" t="s">
        <v>763</v>
      </c>
    </row>
    <row r="137" spans="1:33" ht="15" customHeight="1" x14ac:dyDescent="0.25">
      <c r="A137" t="s">
        <v>764</v>
      </c>
      <c r="B137" t="s">
        <v>764</v>
      </c>
      <c r="C137">
        <v>6</v>
      </c>
      <c r="D137" t="s">
        <v>56</v>
      </c>
      <c r="E137" t="s">
        <v>76</v>
      </c>
      <c r="F137" t="s">
        <v>36</v>
      </c>
      <c r="G137" t="s">
        <v>37</v>
      </c>
      <c r="H137">
        <v>15</v>
      </c>
      <c r="I137">
        <v>6</v>
      </c>
      <c r="J137" t="s">
        <v>765</v>
      </c>
      <c r="K137">
        <v>127</v>
      </c>
      <c r="L137" t="s">
        <v>85</v>
      </c>
      <c r="M137">
        <v>30</v>
      </c>
      <c r="N137">
        <v>10</v>
      </c>
      <c r="O137">
        <v>17</v>
      </c>
      <c r="P137">
        <v>16</v>
      </c>
      <c r="Q137">
        <v>12</v>
      </c>
      <c r="R137">
        <v>13</v>
      </c>
      <c r="S137">
        <v>15</v>
      </c>
      <c r="T137">
        <v>0</v>
      </c>
      <c r="U137">
        <v>3</v>
      </c>
      <c r="V137">
        <v>3</v>
      </c>
      <c r="W137">
        <v>1</v>
      </c>
      <c r="X137">
        <v>4</v>
      </c>
      <c r="Y137">
        <v>2</v>
      </c>
      <c r="Z137" t="s">
        <v>766</v>
      </c>
      <c r="AA137" t="s">
        <v>36</v>
      </c>
      <c r="AB137" t="s">
        <v>36</v>
      </c>
      <c r="AC137" t="s">
        <v>36</v>
      </c>
      <c r="AD137" t="s">
        <v>36</v>
      </c>
      <c r="AE137" t="s">
        <v>767</v>
      </c>
      <c r="AF137" t="s">
        <v>100</v>
      </c>
      <c r="AG137" s="1" t="s">
        <v>768</v>
      </c>
    </row>
    <row r="138" spans="1:33" ht="15" customHeight="1" x14ac:dyDescent="0.25">
      <c r="A138" t="s">
        <v>769</v>
      </c>
      <c r="B138" t="s">
        <v>770</v>
      </c>
      <c r="C138">
        <v>0.5</v>
      </c>
      <c r="D138" t="s">
        <v>66</v>
      </c>
      <c r="E138" t="s">
        <v>45</v>
      </c>
      <c r="F138" t="s">
        <v>36</v>
      </c>
      <c r="G138" t="s">
        <v>159</v>
      </c>
      <c r="H138">
        <v>12</v>
      </c>
      <c r="I138">
        <v>2</v>
      </c>
      <c r="J138" t="s">
        <v>771</v>
      </c>
      <c r="K138">
        <v>17</v>
      </c>
      <c r="L138" t="s">
        <v>772</v>
      </c>
      <c r="M138">
        <v>30</v>
      </c>
      <c r="N138">
        <v>5</v>
      </c>
      <c r="O138">
        <v>14</v>
      </c>
      <c r="P138">
        <v>10</v>
      </c>
      <c r="Q138">
        <v>9</v>
      </c>
      <c r="R138">
        <v>11</v>
      </c>
      <c r="S138">
        <v>10</v>
      </c>
      <c r="T138">
        <v>-3</v>
      </c>
      <c r="U138">
        <v>2</v>
      </c>
      <c r="V138">
        <v>0</v>
      </c>
      <c r="W138">
        <v>-1</v>
      </c>
      <c r="X138">
        <v>0</v>
      </c>
      <c r="Y138">
        <v>0</v>
      </c>
      <c r="Z138" t="s">
        <v>773</v>
      </c>
      <c r="AA138" t="s">
        <v>36</v>
      </c>
      <c r="AB138" t="s">
        <v>98</v>
      </c>
      <c r="AC138" t="s">
        <v>774</v>
      </c>
      <c r="AD138" t="s">
        <v>36</v>
      </c>
      <c r="AE138" t="s">
        <v>612</v>
      </c>
      <c r="AF138" t="s">
        <v>775</v>
      </c>
      <c r="AG138" s="1" t="s">
        <v>1569</v>
      </c>
    </row>
    <row r="139" spans="1:33" ht="15" customHeight="1" x14ac:dyDescent="0.25">
      <c r="A139" t="s">
        <v>777</v>
      </c>
      <c r="B139" t="s">
        <v>770</v>
      </c>
      <c r="C139">
        <v>0.5</v>
      </c>
      <c r="D139" t="s">
        <v>66</v>
      </c>
      <c r="E139" t="s">
        <v>45</v>
      </c>
      <c r="F139" t="s">
        <v>36</v>
      </c>
      <c r="G139" t="s">
        <v>159</v>
      </c>
      <c r="H139">
        <v>11</v>
      </c>
      <c r="I139">
        <v>1</v>
      </c>
      <c r="J139" t="s">
        <v>560</v>
      </c>
      <c r="K139">
        <v>21</v>
      </c>
      <c r="L139" t="s">
        <v>772</v>
      </c>
      <c r="M139">
        <v>30</v>
      </c>
      <c r="N139">
        <v>7</v>
      </c>
      <c r="O139">
        <v>13</v>
      </c>
      <c r="P139">
        <v>10</v>
      </c>
      <c r="Q139">
        <v>9</v>
      </c>
      <c r="R139">
        <v>11</v>
      </c>
      <c r="S139">
        <v>12</v>
      </c>
      <c r="T139">
        <v>-2</v>
      </c>
      <c r="U139">
        <v>1</v>
      </c>
      <c r="V139">
        <v>0</v>
      </c>
      <c r="W139">
        <v>-1</v>
      </c>
      <c r="X139">
        <v>0</v>
      </c>
      <c r="Y139">
        <v>1</v>
      </c>
      <c r="Z139" t="s">
        <v>778</v>
      </c>
      <c r="AA139" t="s">
        <v>36</v>
      </c>
      <c r="AB139" t="s">
        <v>98</v>
      </c>
      <c r="AC139" t="s">
        <v>779</v>
      </c>
      <c r="AD139" t="s">
        <v>36</v>
      </c>
      <c r="AE139" t="s">
        <v>612</v>
      </c>
      <c r="AF139" t="s">
        <v>780</v>
      </c>
      <c r="AG139" s="1" t="s">
        <v>781</v>
      </c>
    </row>
    <row r="140" spans="1:33" ht="15" customHeight="1" x14ac:dyDescent="0.25">
      <c r="A140" t="s">
        <v>782</v>
      </c>
      <c r="B140" t="s">
        <v>770</v>
      </c>
      <c r="C140">
        <v>0.5</v>
      </c>
      <c r="D140" t="s">
        <v>66</v>
      </c>
      <c r="E140" t="s">
        <v>45</v>
      </c>
      <c r="F140" t="s">
        <v>36</v>
      </c>
      <c r="G140" t="s">
        <v>159</v>
      </c>
      <c r="H140">
        <v>11</v>
      </c>
      <c r="I140">
        <v>1</v>
      </c>
      <c r="J140" t="s">
        <v>437</v>
      </c>
      <c r="K140">
        <v>18</v>
      </c>
      <c r="L140" t="s">
        <v>772</v>
      </c>
      <c r="M140">
        <v>30</v>
      </c>
      <c r="N140">
        <v>8</v>
      </c>
      <c r="O140">
        <v>12</v>
      </c>
      <c r="P140">
        <v>12</v>
      </c>
      <c r="Q140">
        <v>7</v>
      </c>
      <c r="R140">
        <v>10</v>
      </c>
      <c r="S140">
        <v>10</v>
      </c>
      <c r="T140">
        <v>-1</v>
      </c>
      <c r="U140">
        <v>1</v>
      </c>
      <c r="V140">
        <v>1</v>
      </c>
      <c r="W140">
        <v>-2</v>
      </c>
      <c r="X140">
        <v>0</v>
      </c>
      <c r="Y140">
        <v>0</v>
      </c>
      <c r="Z140" t="s">
        <v>402</v>
      </c>
      <c r="AA140" t="s">
        <v>36</v>
      </c>
      <c r="AB140" t="s">
        <v>146</v>
      </c>
      <c r="AC140" t="s">
        <v>783</v>
      </c>
      <c r="AD140" t="s">
        <v>36</v>
      </c>
      <c r="AE140" t="s">
        <v>51</v>
      </c>
      <c r="AF140" t="s">
        <v>784</v>
      </c>
      <c r="AG140" s="1" t="s">
        <v>785</v>
      </c>
    </row>
    <row r="141" spans="1:33" ht="15" customHeight="1" x14ac:dyDescent="0.25">
      <c r="A141" t="s">
        <v>786</v>
      </c>
      <c r="B141" t="s">
        <v>770</v>
      </c>
      <c r="C141">
        <v>0.25</v>
      </c>
      <c r="D141" t="s">
        <v>66</v>
      </c>
      <c r="E141" t="s">
        <v>45</v>
      </c>
      <c r="F141" t="s">
        <v>36</v>
      </c>
      <c r="G141" t="s">
        <v>159</v>
      </c>
      <c r="H141">
        <v>10</v>
      </c>
      <c r="I141">
        <v>0</v>
      </c>
      <c r="J141" t="s">
        <v>771</v>
      </c>
      <c r="K141">
        <v>17</v>
      </c>
      <c r="L141" t="s">
        <v>772</v>
      </c>
      <c r="M141">
        <v>30</v>
      </c>
      <c r="N141">
        <v>5</v>
      </c>
      <c r="O141">
        <v>11</v>
      </c>
      <c r="P141">
        <v>10</v>
      </c>
      <c r="Q141">
        <v>11</v>
      </c>
      <c r="R141">
        <v>10</v>
      </c>
      <c r="S141">
        <v>12</v>
      </c>
      <c r="T141">
        <v>-3</v>
      </c>
      <c r="U141">
        <v>0</v>
      </c>
      <c r="V141">
        <v>0</v>
      </c>
      <c r="W141">
        <v>0</v>
      </c>
      <c r="X141">
        <v>0</v>
      </c>
      <c r="Y141">
        <v>1</v>
      </c>
      <c r="Z141" t="s">
        <v>586</v>
      </c>
      <c r="AA141" t="s">
        <v>36</v>
      </c>
      <c r="AB141" t="s">
        <v>36</v>
      </c>
      <c r="AC141" t="s">
        <v>783</v>
      </c>
      <c r="AD141" t="s">
        <v>36</v>
      </c>
      <c r="AE141" t="s">
        <v>51</v>
      </c>
      <c r="AF141" t="s">
        <v>787</v>
      </c>
      <c r="AG141" s="1" t="s">
        <v>1570</v>
      </c>
    </row>
    <row r="142" spans="1:33" ht="15" customHeight="1" x14ac:dyDescent="0.25">
      <c r="A142" t="s">
        <v>789</v>
      </c>
      <c r="B142" t="s">
        <v>790</v>
      </c>
      <c r="C142">
        <v>0.125</v>
      </c>
      <c r="D142" t="s">
        <v>56</v>
      </c>
      <c r="E142" t="s">
        <v>45</v>
      </c>
      <c r="F142" t="s">
        <v>36</v>
      </c>
      <c r="G142" t="s">
        <v>46</v>
      </c>
      <c r="H142">
        <v>11</v>
      </c>
      <c r="I142">
        <v>1</v>
      </c>
      <c r="J142" t="s">
        <v>133</v>
      </c>
      <c r="K142">
        <v>11</v>
      </c>
      <c r="L142" t="s">
        <v>39</v>
      </c>
      <c r="M142">
        <v>10</v>
      </c>
      <c r="N142">
        <v>10</v>
      </c>
      <c r="O142">
        <v>13</v>
      </c>
      <c r="P142">
        <v>12</v>
      </c>
      <c r="Q142">
        <v>11</v>
      </c>
      <c r="R142">
        <v>14</v>
      </c>
      <c r="S142">
        <v>12</v>
      </c>
      <c r="T142">
        <v>0</v>
      </c>
      <c r="U142">
        <v>1</v>
      </c>
      <c r="V142">
        <v>1</v>
      </c>
      <c r="W142">
        <v>0</v>
      </c>
      <c r="X142">
        <v>2</v>
      </c>
      <c r="Y142">
        <v>1</v>
      </c>
      <c r="Z142" t="s">
        <v>36</v>
      </c>
      <c r="AA142" t="s">
        <v>36</v>
      </c>
      <c r="AB142" t="s">
        <v>36</v>
      </c>
      <c r="AC142" t="s">
        <v>36</v>
      </c>
      <c r="AD142" t="s">
        <v>36</v>
      </c>
      <c r="AE142" t="s">
        <v>398</v>
      </c>
      <c r="AF142" t="s">
        <v>791</v>
      </c>
      <c r="AG142" s="1" t="s">
        <v>1571</v>
      </c>
    </row>
    <row r="143" spans="1:33" ht="15" customHeight="1" x14ac:dyDescent="0.25">
      <c r="A143" t="s">
        <v>793</v>
      </c>
      <c r="B143" t="s">
        <v>793</v>
      </c>
      <c r="C143">
        <v>2</v>
      </c>
      <c r="D143" t="s">
        <v>34</v>
      </c>
      <c r="E143" t="s">
        <v>76</v>
      </c>
      <c r="F143" t="s">
        <v>36</v>
      </c>
      <c r="G143" t="s">
        <v>122</v>
      </c>
      <c r="H143">
        <v>13</v>
      </c>
      <c r="I143">
        <v>2</v>
      </c>
      <c r="J143" t="s">
        <v>77</v>
      </c>
      <c r="K143">
        <v>45</v>
      </c>
      <c r="L143" t="s">
        <v>39</v>
      </c>
      <c r="M143">
        <v>10</v>
      </c>
      <c r="N143">
        <v>18</v>
      </c>
      <c r="O143">
        <v>15</v>
      </c>
      <c r="P143">
        <v>15</v>
      </c>
      <c r="Q143">
        <v>8</v>
      </c>
      <c r="R143">
        <v>10</v>
      </c>
      <c r="S143">
        <v>9</v>
      </c>
      <c r="T143">
        <v>4</v>
      </c>
      <c r="U143">
        <v>2</v>
      </c>
      <c r="V143">
        <v>2</v>
      </c>
      <c r="W143">
        <v>-1</v>
      </c>
      <c r="X143">
        <v>0</v>
      </c>
      <c r="Y143">
        <v>-1</v>
      </c>
      <c r="Z143" t="s">
        <v>36</v>
      </c>
      <c r="AA143" t="s">
        <v>36</v>
      </c>
      <c r="AB143" t="s">
        <v>36</v>
      </c>
      <c r="AC143" t="s">
        <v>36</v>
      </c>
      <c r="AD143" t="s">
        <v>36</v>
      </c>
      <c r="AE143" t="s">
        <v>51</v>
      </c>
      <c r="AF143" t="s">
        <v>794</v>
      </c>
      <c r="AG143" s="1" t="s">
        <v>1572</v>
      </c>
    </row>
    <row r="144" spans="1:33" ht="15" customHeight="1" x14ac:dyDescent="0.25">
      <c r="A144" t="s">
        <v>796</v>
      </c>
      <c r="B144" t="s">
        <v>796</v>
      </c>
      <c r="C144">
        <v>2</v>
      </c>
      <c r="D144" t="s">
        <v>56</v>
      </c>
      <c r="E144" t="s">
        <v>76</v>
      </c>
      <c r="F144" t="s">
        <v>36</v>
      </c>
      <c r="G144" t="s">
        <v>46</v>
      </c>
      <c r="H144">
        <v>12</v>
      </c>
      <c r="I144">
        <v>3</v>
      </c>
      <c r="J144" t="s">
        <v>154</v>
      </c>
      <c r="K144">
        <v>58</v>
      </c>
      <c r="L144" t="s">
        <v>96</v>
      </c>
      <c r="M144">
        <v>20</v>
      </c>
      <c r="N144">
        <v>17</v>
      </c>
      <c r="O144">
        <v>12</v>
      </c>
      <c r="P144">
        <v>15</v>
      </c>
      <c r="Q144">
        <v>5</v>
      </c>
      <c r="R144">
        <v>13</v>
      </c>
      <c r="S144">
        <v>8</v>
      </c>
      <c r="T144">
        <v>3</v>
      </c>
      <c r="U144">
        <v>1</v>
      </c>
      <c r="V144">
        <v>2</v>
      </c>
      <c r="W144">
        <v>-3</v>
      </c>
      <c r="X144">
        <v>1</v>
      </c>
      <c r="Y144">
        <v>-1</v>
      </c>
      <c r="Z144" t="s">
        <v>333</v>
      </c>
      <c r="AA144" t="s">
        <v>36</v>
      </c>
      <c r="AB144" t="s">
        <v>36</v>
      </c>
      <c r="AC144" t="s">
        <v>797</v>
      </c>
      <c r="AD144" t="s">
        <v>36</v>
      </c>
      <c r="AE144" t="s">
        <v>283</v>
      </c>
      <c r="AF144" t="s">
        <v>63</v>
      </c>
      <c r="AG144" s="1" t="s">
        <v>1573</v>
      </c>
    </row>
    <row r="145" spans="1:33" ht="15" customHeight="1" x14ac:dyDescent="0.25">
      <c r="A145" t="s">
        <v>799</v>
      </c>
      <c r="B145" t="s">
        <v>799</v>
      </c>
      <c r="C145">
        <v>3</v>
      </c>
      <c r="D145" t="s">
        <v>34</v>
      </c>
      <c r="E145" t="s">
        <v>76</v>
      </c>
      <c r="F145" t="s">
        <v>36</v>
      </c>
      <c r="G145" t="s">
        <v>122</v>
      </c>
      <c r="H145">
        <v>14</v>
      </c>
      <c r="I145">
        <v>0</v>
      </c>
      <c r="J145" t="s">
        <v>478</v>
      </c>
      <c r="K145">
        <v>85</v>
      </c>
      <c r="L145" t="s">
        <v>210</v>
      </c>
      <c r="M145">
        <v>40</v>
      </c>
      <c r="N145">
        <v>18</v>
      </c>
      <c r="O145">
        <v>11</v>
      </c>
      <c r="P145">
        <v>16</v>
      </c>
      <c r="Q145">
        <v>6</v>
      </c>
      <c r="R145">
        <v>16</v>
      </c>
      <c r="S145">
        <v>9</v>
      </c>
      <c r="T145">
        <v>4</v>
      </c>
      <c r="U145">
        <v>0</v>
      </c>
      <c r="V145">
        <v>3</v>
      </c>
      <c r="W145">
        <v>-2</v>
      </c>
      <c r="X145">
        <v>3</v>
      </c>
      <c r="Y145">
        <v>-1</v>
      </c>
      <c r="Z145" t="s">
        <v>800</v>
      </c>
      <c r="AA145" t="s">
        <v>36</v>
      </c>
      <c r="AB145" t="s">
        <v>36</v>
      </c>
      <c r="AC145" t="s">
        <v>36</v>
      </c>
      <c r="AD145" t="s">
        <v>36</v>
      </c>
      <c r="AE145" t="s">
        <v>581</v>
      </c>
      <c r="AF145" t="s">
        <v>801</v>
      </c>
      <c r="AG145" s="1" t="s">
        <v>802</v>
      </c>
    </row>
    <row r="146" spans="1:33" ht="15" customHeight="1" x14ac:dyDescent="0.25">
      <c r="A146" t="s">
        <v>803</v>
      </c>
      <c r="B146" t="s">
        <v>804</v>
      </c>
      <c r="C146">
        <v>3</v>
      </c>
      <c r="D146" t="s">
        <v>82</v>
      </c>
      <c r="E146" t="s">
        <v>518</v>
      </c>
      <c r="F146" t="s">
        <v>36</v>
      </c>
      <c r="G146" t="s">
        <v>37</v>
      </c>
      <c r="H146">
        <v>11</v>
      </c>
      <c r="I146">
        <v>-1</v>
      </c>
      <c r="J146" t="s">
        <v>154</v>
      </c>
      <c r="K146">
        <v>58</v>
      </c>
      <c r="L146" t="s">
        <v>96</v>
      </c>
      <c r="M146">
        <v>20</v>
      </c>
      <c r="N146">
        <v>16</v>
      </c>
      <c r="O146">
        <v>8</v>
      </c>
      <c r="P146">
        <v>15</v>
      </c>
      <c r="Q146">
        <v>6</v>
      </c>
      <c r="R146">
        <v>12</v>
      </c>
      <c r="S146">
        <v>12</v>
      </c>
      <c r="T146">
        <v>3</v>
      </c>
      <c r="U146">
        <v>-1</v>
      </c>
      <c r="V146">
        <v>2</v>
      </c>
      <c r="W146">
        <v>-2</v>
      </c>
      <c r="X146">
        <v>3</v>
      </c>
      <c r="Y146">
        <v>1</v>
      </c>
      <c r="Z146" t="s">
        <v>36</v>
      </c>
      <c r="AA146" t="s">
        <v>36</v>
      </c>
      <c r="AB146" t="s">
        <v>98</v>
      </c>
      <c r="AC146" t="s">
        <v>737</v>
      </c>
      <c r="AD146" t="s">
        <v>36</v>
      </c>
      <c r="AE146" t="s">
        <v>283</v>
      </c>
      <c r="AF146" t="s">
        <v>805</v>
      </c>
      <c r="AG146" s="1" t="s">
        <v>1574</v>
      </c>
    </row>
    <row r="147" spans="1:33" ht="15" customHeight="1" x14ac:dyDescent="0.25">
      <c r="A147" t="s">
        <v>807</v>
      </c>
      <c r="B147" t="s">
        <v>804</v>
      </c>
      <c r="C147">
        <v>15</v>
      </c>
      <c r="D147" t="s">
        <v>82</v>
      </c>
      <c r="E147" t="s">
        <v>518</v>
      </c>
      <c r="F147" t="s">
        <v>808</v>
      </c>
      <c r="G147" t="s">
        <v>37</v>
      </c>
      <c r="H147">
        <v>17</v>
      </c>
      <c r="I147">
        <v>10</v>
      </c>
      <c r="J147" t="s">
        <v>809</v>
      </c>
      <c r="K147">
        <v>187</v>
      </c>
      <c r="L147" t="s">
        <v>85</v>
      </c>
      <c r="M147">
        <v>30</v>
      </c>
      <c r="N147">
        <v>18</v>
      </c>
      <c r="O147">
        <v>10</v>
      </c>
      <c r="P147">
        <v>17</v>
      </c>
      <c r="Q147">
        <v>11</v>
      </c>
      <c r="R147">
        <v>19</v>
      </c>
      <c r="S147">
        <v>16</v>
      </c>
      <c r="T147">
        <v>4</v>
      </c>
      <c r="U147">
        <v>0</v>
      </c>
      <c r="V147">
        <v>3</v>
      </c>
      <c r="W147">
        <v>5</v>
      </c>
      <c r="X147">
        <v>9</v>
      </c>
      <c r="Y147">
        <v>3</v>
      </c>
      <c r="Z147" t="s">
        <v>810</v>
      </c>
      <c r="AA147" t="s">
        <v>36</v>
      </c>
      <c r="AB147" t="s">
        <v>98</v>
      </c>
      <c r="AC147" t="s">
        <v>737</v>
      </c>
      <c r="AD147" t="s">
        <v>36</v>
      </c>
      <c r="AE147" t="s">
        <v>811</v>
      </c>
      <c r="AF147" t="s">
        <v>428</v>
      </c>
      <c r="AG147" s="1" t="s">
        <v>1575</v>
      </c>
    </row>
    <row r="148" spans="1:33" ht="15" customHeight="1" x14ac:dyDescent="0.25">
      <c r="A148" t="s">
        <v>813</v>
      </c>
      <c r="B148" t="s">
        <v>813</v>
      </c>
      <c r="C148">
        <v>13</v>
      </c>
      <c r="D148" t="s">
        <v>34</v>
      </c>
      <c r="E148" t="s">
        <v>120</v>
      </c>
      <c r="F148" t="s">
        <v>121</v>
      </c>
      <c r="G148" t="s">
        <v>122</v>
      </c>
      <c r="H148">
        <v>18</v>
      </c>
      <c r="I148">
        <v>5</v>
      </c>
      <c r="J148" t="s">
        <v>814</v>
      </c>
      <c r="K148">
        <v>184</v>
      </c>
      <c r="L148" t="s">
        <v>815</v>
      </c>
      <c r="M148">
        <v>20</v>
      </c>
      <c r="N148">
        <v>21</v>
      </c>
      <c r="O148">
        <v>10</v>
      </c>
      <c r="P148">
        <v>22</v>
      </c>
      <c r="Q148">
        <v>19</v>
      </c>
      <c r="R148">
        <v>12</v>
      </c>
      <c r="S148">
        <v>15</v>
      </c>
      <c r="T148">
        <v>5</v>
      </c>
      <c r="U148">
        <v>0</v>
      </c>
      <c r="V148">
        <v>11</v>
      </c>
      <c r="W148">
        <v>9</v>
      </c>
      <c r="X148">
        <v>6</v>
      </c>
      <c r="Y148">
        <v>7</v>
      </c>
      <c r="Z148" t="s">
        <v>36</v>
      </c>
      <c r="AA148" t="s">
        <v>438</v>
      </c>
      <c r="AB148" t="s">
        <v>36</v>
      </c>
      <c r="AC148" t="s">
        <v>816</v>
      </c>
      <c r="AD148" t="s">
        <v>36</v>
      </c>
      <c r="AE148" t="s">
        <v>817</v>
      </c>
      <c r="AF148" t="s">
        <v>129</v>
      </c>
      <c r="AG148" s="1" t="s">
        <v>1576</v>
      </c>
    </row>
    <row r="149" spans="1:33" ht="15" customHeight="1" x14ac:dyDescent="0.25">
      <c r="A149" t="s">
        <v>819</v>
      </c>
      <c r="B149" t="s">
        <v>819</v>
      </c>
      <c r="C149">
        <v>5</v>
      </c>
      <c r="D149" t="s">
        <v>56</v>
      </c>
      <c r="E149" t="s">
        <v>120</v>
      </c>
      <c r="F149" t="s">
        <v>36</v>
      </c>
      <c r="G149" t="s">
        <v>159</v>
      </c>
      <c r="H149">
        <v>17</v>
      </c>
      <c r="I149">
        <v>5</v>
      </c>
      <c r="J149" t="s">
        <v>542</v>
      </c>
      <c r="K149">
        <v>112</v>
      </c>
      <c r="L149" t="s">
        <v>85</v>
      </c>
      <c r="M149">
        <v>30</v>
      </c>
      <c r="N149">
        <v>18</v>
      </c>
      <c r="O149">
        <v>15</v>
      </c>
      <c r="P149">
        <v>16</v>
      </c>
      <c r="Q149">
        <v>16</v>
      </c>
      <c r="R149">
        <v>14</v>
      </c>
      <c r="S149">
        <v>16</v>
      </c>
      <c r="T149">
        <v>4</v>
      </c>
      <c r="U149">
        <v>2</v>
      </c>
      <c r="V149">
        <v>3</v>
      </c>
      <c r="W149">
        <v>3</v>
      </c>
      <c r="X149">
        <v>2</v>
      </c>
      <c r="Y149">
        <v>3</v>
      </c>
      <c r="Z149" t="s">
        <v>820</v>
      </c>
      <c r="AA149" t="s">
        <v>821</v>
      </c>
      <c r="AB149" t="s">
        <v>36</v>
      </c>
      <c r="AC149" t="s">
        <v>427</v>
      </c>
      <c r="AD149" t="s">
        <v>36</v>
      </c>
      <c r="AE149" t="s">
        <v>408</v>
      </c>
      <c r="AF149" t="s">
        <v>822</v>
      </c>
      <c r="AG149" s="1" t="s">
        <v>1577</v>
      </c>
    </row>
    <row r="150" spans="1:33" ht="15" customHeight="1" x14ac:dyDescent="0.25">
      <c r="A150" t="s">
        <v>824</v>
      </c>
      <c r="B150" t="s">
        <v>824</v>
      </c>
      <c r="C150">
        <v>3</v>
      </c>
      <c r="D150" t="s">
        <v>34</v>
      </c>
      <c r="E150" t="s">
        <v>120</v>
      </c>
      <c r="F150" t="s">
        <v>36</v>
      </c>
      <c r="G150" t="s">
        <v>159</v>
      </c>
      <c r="H150">
        <v>13</v>
      </c>
      <c r="I150">
        <v>2</v>
      </c>
      <c r="J150" t="s">
        <v>201</v>
      </c>
      <c r="K150">
        <v>68</v>
      </c>
      <c r="L150" t="s">
        <v>825</v>
      </c>
      <c r="M150">
        <v>60</v>
      </c>
      <c r="N150">
        <v>18</v>
      </c>
      <c r="O150">
        <v>15</v>
      </c>
      <c r="P150">
        <v>16</v>
      </c>
      <c r="Q150">
        <v>10</v>
      </c>
      <c r="R150">
        <v>13</v>
      </c>
      <c r="S150">
        <v>15</v>
      </c>
      <c r="T150">
        <v>4</v>
      </c>
      <c r="U150">
        <v>2</v>
      </c>
      <c r="V150">
        <v>3</v>
      </c>
      <c r="W150">
        <v>0</v>
      </c>
      <c r="X150">
        <v>1</v>
      </c>
      <c r="Y150">
        <v>2</v>
      </c>
      <c r="Z150" t="s">
        <v>36</v>
      </c>
      <c r="AA150" t="s">
        <v>36</v>
      </c>
      <c r="AB150" t="s">
        <v>36</v>
      </c>
      <c r="AC150" t="s">
        <v>98</v>
      </c>
      <c r="AD150" t="s">
        <v>36</v>
      </c>
      <c r="AE150" t="s">
        <v>116</v>
      </c>
      <c r="AF150" t="s">
        <v>1578</v>
      </c>
      <c r="AG150" s="1" t="s">
        <v>1579</v>
      </c>
    </row>
    <row r="151" spans="1:33" ht="15" customHeight="1" x14ac:dyDescent="0.25">
      <c r="A151" t="s">
        <v>828</v>
      </c>
      <c r="B151" t="s">
        <v>828</v>
      </c>
      <c r="C151">
        <v>0.125</v>
      </c>
      <c r="D151" t="s">
        <v>82</v>
      </c>
      <c r="E151" t="s">
        <v>83</v>
      </c>
      <c r="F151" t="s">
        <v>36</v>
      </c>
      <c r="G151" t="s">
        <v>46</v>
      </c>
      <c r="H151">
        <v>15</v>
      </c>
      <c r="I151">
        <v>1</v>
      </c>
      <c r="J151" t="s">
        <v>390</v>
      </c>
      <c r="K151">
        <v>9</v>
      </c>
      <c r="L151" t="s">
        <v>85</v>
      </c>
      <c r="M151">
        <v>30</v>
      </c>
      <c r="N151">
        <v>11</v>
      </c>
      <c r="O151">
        <v>12</v>
      </c>
      <c r="P151">
        <v>11</v>
      </c>
      <c r="Q151">
        <v>12</v>
      </c>
      <c r="R151">
        <v>14</v>
      </c>
      <c r="S151">
        <v>16</v>
      </c>
      <c r="T151">
        <v>0</v>
      </c>
      <c r="U151">
        <v>1</v>
      </c>
      <c r="V151">
        <v>0</v>
      </c>
      <c r="W151">
        <v>1</v>
      </c>
      <c r="X151">
        <v>2</v>
      </c>
      <c r="Y151">
        <v>3</v>
      </c>
      <c r="Z151" t="s">
        <v>829</v>
      </c>
      <c r="AA151" t="s">
        <v>36</v>
      </c>
      <c r="AB151" t="s">
        <v>36</v>
      </c>
      <c r="AC151" t="s">
        <v>36</v>
      </c>
      <c r="AD151" t="s">
        <v>830</v>
      </c>
      <c r="AE151" t="s">
        <v>398</v>
      </c>
      <c r="AF151" t="s">
        <v>805</v>
      </c>
      <c r="AG151" s="1" t="s">
        <v>831</v>
      </c>
    </row>
    <row r="152" spans="1:33" ht="15" customHeight="1" x14ac:dyDescent="0.25">
      <c r="A152" t="s">
        <v>832</v>
      </c>
      <c r="B152" t="s">
        <v>832</v>
      </c>
      <c r="C152">
        <v>2</v>
      </c>
      <c r="D152" t="s">
        <v>34</v>
      </c>
      <c r="E152" t="s">
        <v>200</v>
      </c>
      <c r="F152" t="s">
        <v>36</v>
      </c>
      <c r="G152" t="s">
        <v>58</v>
      </c>
      <c r="H152">
        <v>8</v>
      </c>
      <c r="I152">
        <v>-2</v>
      </c>
      <c r="J152" t="s">
        <v>833</v>
      </c>
      <c r="K152">
        <v>52</v>
      </c>
      <c r="L152" t="s">
        <v>202</v>
      </c>
      <c r="M152">
        <v>20</v>
      </c>
      <c r="N152">
        <v>15</v>
      </c>
      <c r="O152">
        <v>6</v>
      </c>
      <c r="P152">
        <v>14</v>
      </c>
      <c r="Q152">
        <v>2</v>
      </c>
      <c r="R152">
        <v>6</v>
      </c>
      <c r="S152">
        <v>1</v>
      </c>
      <c r="T152">
        <v>2</v>
      </c>
      <c r="U152">
        <v>-2</v>
      </c>
      <c r="V152">
        <v>2</v>
      </c>
      <c r="W152">
        <v>-4</v>
      </c>
      <c r="X152">
        <v>-2</v>
      </c>
      <c r="Y152">
        <v>-5</v>
      </c>
      <c r="Z152" t="s">
        <v>36</v>
      </c>
      <c r="AA152" t="s">
        <v>178</v>
      </c>
      <c r="AB152" t="s">
        <v>36</v>
      </c>
      <c r="AC152" t="s">
        <v>834</v>
      </c>
      <c r="AD152" t="s">
        <v>36</v>
      </c>
      <c r="AE152" t="s">
        <v>204</v>
      </c>
      <c r="AF152" t="s">
        <v>63</v>
      </c>
      <c r="AG152" s="1" t="s">
        <v>1580</v>
      </c>
    </row>
    <row r="153" spans="1:33" ht="15" customHeight="1" x14ac:dyDescent="0.25">
      <c r="A153" t="s">
        <v>836</v>
      </c>
      <c r="B153" t="s">
        <v>836</v>
      </c>
      <c r="C153">
        <v>2</v>
      </c>
      <c r="D153" t="s">
        <v>34</v>
      </c>
      <c r="E153" t="s">
        <v>339</v>
      </c>
      <c r="F153" t="s">
        <v>36</v>
      </c>
      <c r="G153" t="s">
        <v>122</v>
      </c>
      <c r="H153">
        <v>11</v>
      </c>
      <c r="I153">
        <v>-1</v>
      </c>
      <c r="J153" t="s">
        <v>201</v>
      </c>
      <c r="K153">
        <v>68</v>
      </c>
      <c r="L153" t="s">
        <v>210</v>
      </c>
      <c r="M153">
        <v>40</v>
      </c>
      <c r="N153">
        <v>19</v>
      </c>
      <c r="O153">
        <v>8</v>
      </c>
      <c r="P153">
        <v>16</v>
      </c>
      <c r="Q153">
        <v>5</v>
      </c>
      <c r="R153">
        <v>7</v>
      </c>
      <c r="S153">
        <v>7</v>
      </c>
      <c r="T153">
        <v>4</v>
      </c>
      <c r="U153">
        <v>-1</v>
      </c>
      <c r="V153">
        <v>3</v>
      </c>
      <c r="W153">
        <v>-3</v>
      </c>
      <c r="X153">
        <v>-2</v>
      </c>
      <c r="Y153">
        <v>-2</v>
      </c>
      <c r="Z153" t="s">
        <v>36</v>
      </c>
      <c r="AA153" t="s">
        <v>36</v>
      </c>
      <c r="AB153" t="s">
        <v>36</v>
      </c>
      <c r="AC153" t="s">
        <v>36</v>
      </c>
      <c r="AD153" t="s">
        <v>837</v>
      </c>
      <c r="AE153" t="s">
        <v>717</v>
      </c>
      <c r="AF153" t="s">
        <v>344</v>
      </c>
      <c r="AG153" s="1" t="s">
        <v>838</v>
      </c>
    </row>
    <row r="154" spans="1:33" ht="15" customHeight="1" x14ac:dyDescent="0.25">
      <c r="A154" t="s">
        <v>839</v>
      </c>
      <c r="B154" t="s">
        <v>839</v>
      </c>
      <c r="C154">
        <v>7</v>
      </c>
      <c r="D154" t="s">
        <v>34</v>
      </c>
      <c r="E154" t="s">
        <v>120</v>
      </c>
      <c r="F154" t="s">
        <v>36</v>
      </c>
      <c r="G154" t="s">
        <v>37</v>
      </c>
      <c r="H154">
        <v>17</v>
      </c>
      <c r="I154">
        <v>0</v>
      </c>
      <c r="J154" t="s">
        <v>361</v>
      </c>
      <c r="K154">
        <v>119</v>
      </c>
      <c r="L154" t="s">
        <v>840</v>
      </c>
      <c r="M154">
        <v>30</v>
      </c>
      <c r="N154">
        <v>19</v>
      </c>
      <c r="O154">
        <v>11</v>
      </c>
      <c r="P154">
        <v>16</v>
      </c>
      <c r="Q154">
        <v>14</v>
      </c>
      <c r="R154">
        <v>12</v>
      </c>
      <c r="S154">
        <v>15</v>
      </c>
      <c r="T154">
        <v>4</v>
      </c>
      <c r="U154">
        <v>3</v>
      </c>
      <c r="V154">
        <v>6</v>
      </c>
      <c r="W154">
        <v>2</v>
      </c>
      <c r="X154">
        <v>4</v>
      </c>
      <c r="Y154">
        <v>5</v>
      </c>
      <c r="Z154" t="s">
        <v>841</v>
      </c>
      <c r="AA154" t="s">
        <v>146</v>
      </c>
      <c r="AB154" t="s">
        <v>36</v>
      </c>
      <c r="AC154" t="s">
        <v>36</v>
      </c>
      <c r="AD154" t="s">
        <v>36</v>
      </c>
      <c r="AE154" t="s">
        <v>321</v>
      </c>
      <c r="AF154" t="s">
        <v>344</v>
      </c>
      <c r="AG154" s="1" t="s">
        <v>1581</v>
      </c>
    </row>
    <row r="155" spans="1:33" ht="15" customHeight="1" x14ac:dyDescent="0.25">
      <c r="A155" t="s">
        <v>843</v>
      </c>
      <c r="B155" t="s">
        <v>843</v>
      </c>
      <c r="C155">
        <v>5</v>
      </c>
      <c r="D155" t="s">
        <v>34</v>
      </c>
      <c r="E155" t="s">
        <v>35</v>
      </c>
      <c r="F155" t="s">
        <v>36</v>
      </c>
      <c r="G155" t="s">
        <v>46</v>
      </c>
      <c r="H155">
        <v>14</v>
      </c>
      <c r="I155">
        <v>0</v>
      </c>
      <c r="J155" t="s">
        <v>844</v>
      </c>
      <c r="K155">
        <v>104</v>
      </c>
      <c r="L155" t="s">
        <v>85</v>
      </c>
      <c r="M155">
        <v>30</v>
      </c>
      <c r="N155">
        <v>16</v>
      </c>
      <c r="O155">
        <v>11</v>
      </c>
      <c r="P155">
        <v>19</v>
      </c>
      <c r="Q155">
        <v>6</v>
      </c>
      <c r="R155">
        <v>13</v>
      </c>
      <c r="S155">
        <v>6</v>
      </c>
      <c r="T155">
        <v>3</v>
      </c>
      <c r="U155">
        <v>0</v>
      </c>
      <c r="V155">
        <v>7</v>
      </c>
      <c r="W155">
        <v>-2</v>
      </c>
      <c r="X155">
        <v>1</v>
      </c>
      <c r="Y155">
        <v>-2</v>
      </c>
      <c r="Z155" t="s">
        <v>36</v>
      </c>
      <c r="AA155" t="s">
        <v>36</v>
      </c>
      <c r="AB155" t="s">
        <v>36</v>
      </c>
      <c r="AC155" t="s">
        <v>36</v>
      </c>
      <c r="AD155" t="s">
        <v>36</v>
      </c>
      <c r="AE155" t="s">
        <v>433</v>
      </c>
      <c r="AF155" t="s">
        <v>1582</v>
      </c>
      <c r="AG155" s="1" t="s">
        <v>1583</v>
      </c>
    </row>
    <row r="156" spans="1:33" ht="15" customHeight="1" x14ac:dyDescent="0.25">
      <c r="A156" t="s">
        <v>847</v>
      </c>
      <c r="B156" t="s">
        <v>847</v>
      </c>
      <c r="C156">
        <v>3</v>
      </c>
      <c r="D156" t="s">
        <v>34</v>
      </c>
      <c r="E156" t="s">
        <v>76</v>
      </c>
      <c r="F156" t="s">
        <v>36</v>
      </c>
      <c r="G156" t="s">
        <v>58</v>
      </c>
      <c r="H156">
        <v>13</v>
      </c>
      <c r="I156">
        <v>1</v>
      </c>
      <c r="J156" t="s">
        <v>615</v>
      </c>
      <c r="K156">
        <v>59</v>
      </c>
      <c r="L156" t="s">
        <v>761</v>
      </c>
      <c r="M156">
        <v>40</v>
      </c>
      <c r="N156">
        <v>20</v>
      </c>
      <c r="O156">
        <v>12</v>
      </c>
      <c r="P156">
        <v>17</v>
      </c>
      <c r="Q156">
        <v>3</v>
      </c>
      <c r="R156">
        <v>12</v>
      </c>
      <c r="S156">
        <v>7</v>
      </c>
      <c r="T156">
        <v>5</v>
      </c>
      <c r="U156">
        <v>1</v>
      </c>
      <c r="V156">
        <v>3</v>
      </c>
      <c r="W156">
        <v>-4</v>
      </c>
      <c r="X156">
        <v>1</v>
      </c>
      <c r="Y156">
        <v>-2</v>
      </c>
      <c r="Z156" t="s">
        <v>617</v>
      </c>
      <c r="AA156" t="s">
        <v>36</v>
      </c>
      <c r="AB156" t="s">
        <v>36</v>
      </c>
      <c r="AC156" t="s">
        <v>36</v>
      </c>
      <c r="AD156" t="s">
        <v>36</v>
      </c>
      <c r="AE156" t="s">
        <v>212</v>
      </c>
      <c r="AF156" t="s">
        <v>63</v>
      </c>
      <c r="AG156" s="1" t="s">
        <v>848</v>
      </c>
    </row>
    <row r="157" spans="1:33" ht="15" customHeight="1" x14ac:dyDescent="0.25">
      <c r="A157" t="s">
        <v>849</v>
      </c>
      <c r="B157" t="s">
        <v>849</v>
      </c>
      <c r="C157">
        <v>2</v>
      </c>
      <c r="D157" t="s">
        <v>34</v>
      </c>
      <c r="E157" t="s">
        <v>373</v>
      </c>
      <c r="F157" t="s">
        <v>36</v>
      </c>
      <c r="G157" t="s">
        <v>248</v>
      </c>
      <c r="H157">
        <v>12</v>
      </c>
      <c r="I157">
        <v>2</v>
      </c>
      <c r="J157" t="s">
        <v>615</v>
      </c>
      <c r="K157">
        <v>59</v>
      </c>
      <c r="L157" t="s">
        <v>850</v>
      </c>
      <c r="M157">
        <v>60</v>
      </c>
      <c r="N157">
        <v>18</v>
      </c>
      <c r="O157">
        <v>15</v>
      </c>
      <c r="P157">
        <v>16</v>
      </c>
      <c r="Q157">
        <v>10</v>
      </c>
      <c r="R157">
        <v>15</v>
      </c>
      <c r="S157">
        <v>13</v>
      </c>
      <c r="T157">
        <v>4</v>
      </c>
      <c r="U157">
        <v>4</v>
      </c>
      <c r="V157">
        <v>5</v>
      </c>
      <c r="W157">
        <v>0</v>
      </c>
      <c r="X157">
        <v>4</v>
      </c>
      <c r="Y157">
        <v>3</v>
      </c>
      <c r="Z157" t="s">
        <v>293</v>
      </c>
      <c r="AA157" t="s">
        <v>36</v>
      </c>
      <c r="AB157" t="s">
        <v>36</v>
      </c>
      <c r="AC157" t="s">
        <v>36</v>
      </c>
      <c r="AD157" t="s">
        <v>36</v>
      </c>
      <c r="AE157" t="s">
        <v>89</v>
      </c>
      <c r="AF157" t="s">
        <v>1584</v>
      </c>
      <c r="AG157" s="1" t="s">
        <v>1585</v>
      </c>
    </row>
    <row r="158" spans="1:33" ht="15" customHeight="1" x14ac:dyDescent="0.25">
      <c r="A158" t="s">
        <v>853</v>
      </c>
      <c r="B158" t="s">
        <v>853</v>
      </c>
      <c r="C158">
        <v>3</v>
      </c>
      <c r="D158" t="s">
        <v>34</v>
      </c>
      <c r="E158" t="s">
        <v>76</v>
      </c>
      <c r="F158" t="s">
        <v>36</v>
      </c>
      <c r="G158" t="s">
        <v>58</v>
      </c>
      <c r="H158">
        <v>14</v>
      </c>
      <c r="I158">
        <v>3</v>
      </c>
      <c r="J158" t="s">
        <v>854</v>
      </c>
      <c r="K158">
        <v>45</v>
      </c>
      <c r="L158" t="s">
        <v>144</v>
      </c>
      <c r="M158">
        <v>30</v>
      </c>
      <c r="N158">
        <v>15</v>
      </c>
      <c r="O158">
        <v>16</v>
      </c>
      <c r="P158">
        <v>12</v>
      </c>
      <c r="Q158">
        <v>6</v>
      </c>
      <c r="R158">
        <v>10</v>
      </c>
      <c r="S158">
        <v>6</v>
      </c>
      <c r="T158">
        <v>2</v>
      </c>
      <c r="U158">
        <v>3</v>
      </c>
      <c r="V158">
        <v>1</v>
      </c>
      <c r="W158">
        <v>-2</v>
      </c>
      <c r="X158">
        <v>0</v>
      </c>
      <c r="Y158">
        <v>-2</v>
      </c>
      <c r="Z158" t="s">
        <v>855</v>
      </c>
      <c r="AA158" t="s">
        <v>36</v>
      </c>
      <c r="AB158" t="s">
        <v>36</v>
      </c>
      <c r="AC158" t="s">
        <v>36</v>
      </c>
      <c r="AD158" t="s">
        <v>36</v>
      </c>
      <c r="AE158" t="s">
        <v>51</v>
      </c>
      <c r="AF158" t="s">
        <v>63</v>
      </c>
      <c r="AG158" s="1" t="s">
        <v>856</v>
      </c>
    </row>
    <row r="159" spans="1:33" ht="15" customHeight="1" x14ac:dyDescent="0.25">
      <c r="A159" t="s">
        <v>857</v>
      </c>
      <c r="B159" t="s">
        <v>858</v>
      </c>
      <c r="C159">
        <v>1</v>
      </c>
      <c r="D159" t="s">
        <v>82</v>
      </c>
      <c r="E159" t="s">
        <v>83</v>
      </c>
      <c r="F159" t="s">
        <v>36</v>
      </c>
      <c r="G159" t="s">
        <v>46</v>
      </c>
      <c r="H159">
        <v>14</v>
      </c>
      <c r="I159">
        <v>5</v>
      </c>
      <c r="J159" t="s">
        <v>59</v>
      </c>
      <c r="K159">
        <v>33</v>
      </c>
      <c r="L159" t="s">
        <v>85</v>
      </c>
      <c r="M159">
        <v>30</v>
      </c>
      <c r="N159">
        <v>10</v>
      </c>
      <c r="O159">
        <v>16</v>
      </c>
      <c r="P159">
        <v>12</v>
      </c>
      <c r="Q159">
        <v>8</v>
      </c>
      <c r="R159">
        <v>12</v>
      </c>
      <c r="S159">
        <v>14</v>
      </c>
      <c r="T159">
        <v>0</v>
      </c>
      <c r="U159">
        <v>5</v>
      </c>
      <c r="V159">
        <v>1</v>
      </c>
      <c r="W159">
        <v>-1</v>
      </c>
      <c r="X159">
        <v>1</v>
      </c>
      <c r="Y159">
        <v>4</v>
      </c>
      <c r="Z159" t="s">
        <v>36</v>
      </c>
      <c r="AA159" t="s">
        <v>36</v>
      </c>
      <c r="AB159" t="s">
        <v>36</v>
      </c>
      <c r="AC159" t="s">
        <v>36</v>
      </c>
      <c r="AD159" t="s">
        <v>859</v>
      </c>
      <c r="AE159" t="s">
        <v>116</v>
      </c>
      <c r="AF159" t="s">
        <v>100</v>
      </c>
      <c r="AG159" s="1" t="s">
        <v>1586</v>
      </c>
    </row>
    <row r="160" spans="1:33" ht="15" customHeight="1" x14ac:dyDescent="0.25">
      <c r="A160" t="s">
        <v>861</v>
      </c>
      <c r="B160" t="s">
        <v>858</v>
      </c>
      <c r="C160">
        <v>6</v>
      </c>
      <c r="D160" t="s">
        <v>82</v>
      </c>
      <c r="E160" t="s">
        <v>83</v>
      </c>
      <c r="F160" t="s">
        <v>36</v>
      </c>
      <c r="G160" t="s">
        <v>46</v>
      </c>
      <c r="H160">
        <v>17</v>
      </c>
      <c r="I160">
        <v>7</v>
      </c>
      <c r="J160" t="s">
        <v>862</v>
      </c>
      <c r="K160">
        <v>84</v>
      </c>
      <c r="L160" t="s">
        <v>85</v>
      </c>
      <c r="M160">
        <v>30</v>
      </c>
      <c r="N160">
        <v>10</v>
      </c>
      <c r="O160">
        <v>18</v>
      </c>
      <c r="P160">
        <v>14</v>
      </c>
      <c r="Q160">
        <v>10</v>
      </c>
      <c r="R160">
        <v>14</v>
      </c>
      <c r="S160">
        <v>17</v>
      </c>
      <c r="T160">
        <v>3</v>
      </c>
      <c r="U160">
        <v>7</v>
      </c>
      <c r="V160">
        <v>2</v>
      </c>
      <c r="W160">
        <v>0</v>
      </c>
      <c r="X160">
        <v>5</v>
      </c>
      <c r="Y160">
        <v>6</v>
      </c>
      <c r="Z160" t="s">
        <v>863</v>
      </c>
      <c r="AA160" t="s">
        <v>36</v>
      </c>
      <c r="AB160" t="s">
        <v>36</v>
      </c>
      <c r="AC160" t="s">
        <v>36</v>
      </c>
      <c r="AD160" t="s">
        <v>864</v>
      </c>
      <c r="AE160" t="s">
        <v>449</v>
      </c>
      <c r="AF160" t="s">
        <v>100</v>
      </c>
      <c r="AG160" s="1" t="s">
        <v>1587</v>
      </c>
    </row>
    <row r="161" spans="1:33" ht="15" customHeight="1" x14ac:dyDescent="0.25">
      <c r="A161" t="s">
        <v>866</v>
      </c>
      <c r="B161" t="s">
        <v>866</v>
      </c>
      <c r="C161">
        <v>20</v>
      </c>
      <c r="D161" t="s">
        <v>34</v>
      </c>
      <c r="E161" t="s">
        <v>120</v>
      </c>
      <c r="F161" t="s">
        <v>142</v>
      </c>
      <c r="G161" t="s">
        <v>37</v>
      </c>
      <c r="H161">
        <v>21</v>
      </c>
      <c r="I161">
        <v>14</v>
      </c>
      <c r="J161" t="s">
        <v>867</v>
      </c>
      <c r="K161">
        <v>337</v>
      </c>
      <c r="L161" t="s">
        <v>311</v>
      </c>
      <c r="M161">
        <v>30</v>
      </c>
      <c r="N161">
        <v>26</v>
      </c>
      <c r="O161">
        <v>14</v>
      </c>
      <c r="P161">
        <v>24</v>
      </c>
      <c r="Q161">
        <v>22</v>
      </c>
      <c r="R161">
        <v>18</v>
      </c>
      <c r="S161">
        <v>24</v>
      </c>
      <c r="T161">
        <v>8</v>
      </c>
      <c r="U161">
        <v>8</v>
      </c>
      <c r="V161">
        <v>7</v>
      </c>
      <c r="W161">
        <v>6</v>
      </c>
      <c r="X161">
        <v>10</v>
      </c>
      <c r="Y161">
        <v>7</v>
      </c>
      <c r="Z161" t="s">
        <v>868</v>
      </c>
      <c r="AA161" t="s">
        <v>146</v>
      </c>
      <c r="AB161" t="s">
        <v>36</v>
      </c>
      <c r="AC161" t="s">
        <v>115</v>
      </c>
      <c r="AD161" t="s">
        <v>36</v>
      </c>
      <c r="AE161" t="s">
        <v>869</v>
      </c>
      <c r="AF161" t="s">
        <v>148</v>
      </c>
      <c r="AG161" s="1" t="s">
        <v>1588</v>
      </c>
    </row>
    <row r="162" spans="1:33" ht="15" customHeight="1" x14ac:dyDescent="0.25">
      <c r="A162" t="s">
        <v>871</v>
      </c>
      <c r="B162" t="s">
        <v>871</v>
      </c>
      <c r="C162">
        <v>16</v>
      </c>
      <c r="D162" t="s">
        <v>34</v>
      </c>
      <c r="E162" t="s">
        <v>373</v>
      </c>
      <c r="F162" t="s">
        <v>411</v>
      </c>
      <c r="G162" t="s">
        <v>208</v>
      </c>
      <c r="H162">
        <v>19</v>
      </c>
      <c r="I162">
        <v>10</v>
      </c>
      <c r="J162" t="s">
        <v>872</v>
      </c>
      <c r="K162">
        <v>262</v>
      </c>
      <c r="L162" t="s">
        <v>873</v>
      </c>
      <c r="M162">
        <v>40</v>
      </c>
      <c r="N162">
        <v>24</v>
      </c>
      <c r="O162">
        <v>20</v>
      </c>
      <c r="P162">
        <v>24</v>
      </c>
      <c r="Q162">
        <v>19</v>
      </c>
      <c r="R162">
        <v>22</v>
      </c>
      <c r="S162">
        <v>25</v>
      </c>
      <c r="T162">
        <v>12</v>
      </c>
      <c r="U162">
        <v>5</v>
      </c>
      <c r="V162">
        <v>12</v>
      </c>
      <c r="W162">
        <v>4</v>
      </c>
      <c r="X162">
        <v>11</v>
      </c>
      <c r="Y162">
        <v>12</v>
      </c>
      <c r="Z162" t="s">
        <v>874</v>
      </c>
      <c r="AA162" t="s">
        <v>415</v>
      </c>
      <c r="AB162" t="s">
        <v>36</v>
      </c>
      <c r="AC162" t="s">
        <v>416</v>
      </c>
      <c r="AD162" t="s">
        <v>36</v>
      </c>
      <c r="AE162" t="s">
        <v>724</v>
      </c>
      <c r="AF162" t="s">
        <v>378</v>
      </c>
      <c r="AG162" s="1" t="s">
        <v>875</v>
      </c>
    </row>
    <row r="163" spans="1:33" ht="15" customHeight="1" x14ac:dyDescent="0.25">
      <c r="A163" t="s">
        <v>876</v>
      </c>
      <c r="B163" t="s">
        <v>877</v>
      </c>
      <c r="C163">
        <v>0.25</v>
      </c>
      <c r="D163" t="s">
        <v>82</v>
      </c>
      <c r="E163" t="s">
        <v>83</v>
      </c>
      <c r="F163" t="s">
        <v>808</v>
      </c>
      <c r="G163" t="s">
        <v>46</v>
      </c>
      <c r="H163">
        <v>13</v>
      </c>
      <c r="I163">
        <v>0</v>
      </c>
      <c r="J163" t="s">
        <v>133</v>
      </c>
      <c r="K163">
        <v>11</v>
      </c>
      <c r="L163" t="s">
        <v>85</v>
      </c>
      <c r="M163">
        <v>30</v>
      </c>
      <c r="N163">
        <v>14</v>
      </c>
      <c r="O163">
        <v>10</v>
      </c>
      <c r="P163">
        <v>12</v>
      </c>
      <c r="Q163">
        <v>10</v>
      </c>
      <c r="R163">
        <v>14</v>
      </c>
      <c r="S163">
        <v>11</v>
      </c>
      <c r="T163">
        <v>2</v>
      </c>
      <c r="U163">
        <v>0</v>
      </c>
      <c r="V163">
        <v>1</v>
      </c>
      <c r="W163">
        <v>0</v>
      </c>
      <c r="X163">
        <v>2</v>
      </c>
      <c r="Y163">
        <v>0</v>
      </c>
      <c r="Z163" t="s">
        <v>878</v>
      </c>
      <c r="AA163" t="s">
        <v>36</v>
      </c>
      <c r="AB163" t="s">
        <v>36</v>
      </c>
      <c r="AC163" t="s">
        <v>36</v>
      </c>
      <c r="AD163" t="s">
        <v>879</v>
      </c>
      <c r="AE163" t="s">
        <v>398</v>
      </c>
      <c r="AF163" t="s">
        <v>170</v>
      </c>
      <c r="AG163" s="1" t="s">
        <v>880</v>
      </c>
    </row>
    <row r="164" spans="1:33" ht="15" customHeight="1" x14ac:dyDescent="0.25">
      <c r="A164" t="s">
        <v>881</v>
      </c>
      <c r="B164" t="s">
        <v>877</v>
      </c>
      <c r="C164">
        <v>2</v>
      </c>
      <c r="D164" t="s">
        <v>82</v>
      </c>
      <c r="E164" t="s">
        <v>83</v>
      </c>
      <c r="F164" t="s">
        <v>808</v>
      </c>
      <c r="G164" t="s">
        <v>46</v>
      </c>
      <c r="H164">
        <v>13</v>
      </c>
      <c r="I164">
        <v>0</v>
      </c>
      <c r="J164" t="s">
        <v>592</v>
      </c>
      <c r="K164">
        <v>38</v>
      </c>
      <c r="L164" t="s">
        <v>85</v>
      </c>
      <c r="M164">
        <v>30</v>
      </c>
      <c r="N164">
        <v>16</v>
      </c>
      <c r="O164">
        <v>10</v>
      </c>
      <c r="P164">
        <v>12</v>
      </c>
      <c r="Q164">
        <v>13</v>
      </c>
      <c r="R164">
        <v>16</v>
      </c>
      <c r="S164">
        <v>13</v>
      </c>
      <c r="T164">
        <v>3</v>
      </c>
      <c r="U164">
        <v>0</v>
      </c>
      <c r="V164">
        <v>1</v>
      </c>
      <c r="W164">
        <v>1</v>
      </c>
      <c r="X164">
        <v>3</v>
      </c>
      <c r="Y164">
        <v>1</v>
      </c>
      <c r="Z164" t="s">
        <v>882</v>
      </c>
      <c r="AA164" t="s">
        <v>36</v>
      </c>
      <c r="AB164" t="s">
        <v>36</v>
      </c>
      <c r="AC164" t="s">
        <v>36</v>
      </c>
      <c r="AD164" t="s">
        <v>879</v>
      </c>
      <c r="AE164" t="s">
        <v>449</v>
      </c>
      <c r="AF164" t="s">
        <v>100</v>
      </c>
      <c r="AG164" s="1" t="s">
        <v>883</v>
      </c>
    </row>
    <row r="165" spans="1:33" ht="15" customHeight="1" x14ac:dyDescent="0.25">
      <c r="A165" t="s">
        <v>884</v>
      </c>
      <c r="B165" t="s">
        <v>884</v>
      </c>
      <c r="C165">
        <v>0.25</v>
      </c>
      <c r="D165" t="s">
        <v>669</v>
      </c>
      <c r="E165" t="s">
        <v>174</v>
      </c>
      <c r="F165" t="s">
        <v>36</v>
      </c>
      <c r="G165" t="s">
        <v>298</v>
      </c>
      <c r="H165">
        <v>14</v>
      </c>
      <c r="I165">
        <v>2</v>
      </c>
      <c r="J165" t="s">
        <v>885</v>
      </c>
      <c r="K165">
        <v>10</v>
      </c>
      <c r="L165" t="s">
        <v>886</v>
      </c>
      <c r="M165">
        <v>15</v>
      </c>
      <c r="N165">
        <v>6</v>
      </c>
      <c r="O165">
        <v>15</v>
      </c>
      <c r="P165">
        <v>13</v>
      </c>
      <c r="Q165">
        <v>10</v>
      </c>
      <c r="R165">
        <v>12</v>
      </c>
      <c r="S165">
        <v>10</v>
      </c>
      <c r="T165">
        <v>-2</v>
      </c>
      <c r="U165">
        <v>2</v>
      </c>
      <c r="V165">
        <v>1</v>
      </c>
      <c r="W165">
        <v>0</v>
      </c>
      <c r="X165">
        <v>1</v>
      </c>
      <c r="Y165">
        <v>0</v>
      </c>
      <c r="Z165" t="s">
        <v>406</v>
      </c>
      <c r="AA165" t="s">
        <v>36</v>
      </c>
      <c r="AB165" t="s">
        <v>36</v>
      </c>
      <c r="AC165" t="s">
        <v>36</v>
      </c>
      <c r="AD165" t="s">
        <v>36</v>
      </c>
      <c r="AE165" t="s">
        <v>644</v>
      </c>
      <c r="AF165" t="s">
        <v>1589</v>
      </c>
      <c r="AG165" s="1" t="s">
        <v>1590</v>
      </c>
    </row>
    <row r="166" spans="1:33" ht="15" customHeight="1" x14ac:dyDescent="0.25">
      <c r="A166" t="s">
        <v>889</v>
      </c>
      <c r="B166" t="s">
        <v>889</v>
      </c>
      <c r="C166">
        <v>15</v>
      </c>
      <c r="D166" t="s">
        <v>194</v>
      </c>
      <c r="E166" t="s">
        <v>76</v>
      </c>
      <c r="F166" t="s">
        <v>36</v>
      </c>
      <c r="G166" t="s">
        <v>58</v>
      </c>
      <c r="H166">
        <v>18</v>
      </c>
      <c r="I166">
        <v>3</v>
      </c>
      <c r="J166" t="s">
        <v>890</v>
      </c>
      <c r="K166">
        <v>247</v>
      </c>
      <c r="L166" t="s">
        <v>891</v>
      </c>
      <c r="M166">
        <v>50</v>
      </c>
      <c r="N166">
        <v>28</v>
      </c>
      <c r="O166">
        <v>7</v>
      </c>
      <c r="P166">
        <v>22</v>
      </c>
      <c r="Q166">
        <v>1</v>
      </c>
      <c r="R166">
        <v>8</v>
      </c>
      <c r="S166">
        <v>4</v>
      </c>
      <c r="T166">
        <v>9</v>
      </c>
      <c r="U166">
        <v>-2</v>
      </c>
      <c r="V166">
        <v>11</v>
      </c>
      <c r="W166">
        <v>-5</v>
      </c>
      <c r="X166">
        <v>4</v>
      </c>
      <c r="Y166">
        <v>-3</v>
      </c>
      <c r="Z166" t="s">
        <v>36</v>
      </c>
      <c r="AA166" t="s">
        <v>36</v>
      </c>
      <c r="AB166" t="s">
        <v>36</v>
      </c>
      <c r="AC166" t="s">
        <v>36</v>
      </c>
      <c r="AD166" t="s">
        <v>36</v>
      </c>
      <c r="AE166" t="s">
        <v>892</v>
      </c>
      <c r="AF166" t="s">
        <v>63</v>
      </c>
      <c r="AG166" s="1" t="s">
        <v>1591</v>
      </c>
    </row>
    <row r="167" spans="1:33" ht="15" customHeight="1" x14ac:dyDescent="0.25">
      <c r="A167" t="s">
        <v>894</v>
      </c>
      <c r="B167" t="s">
        <v>894</v>
      </c>
      <c r="C167">
        <v>1</v>
      </c>
      <c r="D167" t="s">
        <v>669</v>
      </c>
      <c r="E167" t="s">
        <v>120</v>
      </c>
      <c r="F167" t="s">
        <v>121</v>
      </c>
      <c r="G167" t="s">
        <v>122</v>
      </c>
      <c r="H167">
        <v>13</v>
      </c>
      <c r="I167">
        <v>3</v>
      </c>
      <c r="J167" t="s">
        <v>895</v>
      </c>
      <c r="K167">
        <v>25</v>
      </c>
      <c r="L167" t="s">
        <v>210</v>
      </c>
      <c r="M167">
        <v>40</v>
      </c>
      <c r="N167">
        <v>5</v>
      </c>
      <c r="O167">
        <v>17</v>
      </c>
      <c r="P167">
        <v>10</v>
      </c>
      <c r="Q167">
        <v>7</v>
      </c>
      <c r="R167">
        <v>10</v>
      </c>
      <c r="S167">
        <v>10</v>
      </c>
      <c r="T167">
        <v>-3</v>
      </c>
      <c r="U167">
        <v>3</v>
      </c>
      <c r="V167">
        <v>0</v>
      </c>
      <c r="W167">
        <v>-2</v>
      </c>
      <c r="X167">
        <v>0</v>
      </c>
      <c r="Y167">
        <v>0</v>
      </c>
      <c r="Z167" t="s">
        <v>333</v>
      </c>
      <c r="AA167" t="s">
        <v>438</v>
      </c>
      <c r="AB167" t="s">
        <v>36</v>
      </c>
      <c r="AC167" t="s">
        <v>320</v>
      </c>
      <c r="AD167" t="s">
        <v>36</v>
      </c>
      <c r="AE167" t="s">
        <v>708</v>
      </c>
      <c r="AF167" t="s">
        <v>729</v>
      </c>
      <c r="AG167" s="1" t="s">
        <v>1592</v>
      </c>
    </row>
    <row r="168" spans="1:33" ht="15" customHeight="1" x14ac:dyDescent="0.25">
      <c r="A168" t="s">
        <v>897</v>
      </c>
      <c r="B168" t="s">
        <v>897</v>
      </c>
      <c r="C168">
        <v>13</v>
      </c>
      <c r="D168" t="s">
        <v>56</v>
      </c>
      <c r="E168" t="s">
        <v>120</v>
      </c>
      <c r="F168" t="s">
        <v>36</v>
      </c>
      <c r="G168" t="s">
        <v>37</v>
      </c>
      <c r="H168">
        <v>17</v>
      </c>
      <c r="I168">
        <v>8</v>
      </c>
      <c r="J168" t="s">
        <v>898</v>
      </c>
      <c r="K168">
        <v>221</v>
      </c>
      <c r="L168" t="s">
        <v>210</v>
      </c>
      <c r="M168">
        <v>40</v>
      </c>
      <c r="N168">
        <v>14</v>
      </c>
      <c r="O168">
        <v>17</v>
      </c>
      <c r="P168">
        <v>18</v>
      </c>
      <c r="Q168">
        <v>13</v>
      </c>
      <c r="R168">
        <v>16</v>
      </c>
      <c r="S168">
        <v>20</v>
      </c>
      <c r="T168">
        <v>2</v>
      </c>
      <c r="U168">
        <v>3</v>
      </c>
      <c r="V168">
        <v>4</v>
      </c>
      <c r="W168">
        <v>1</v>
      </c>
      <c r="X168">
        <v>3</v>
      </c>
      <c r="Y168">
        <v>5</v>
      </c>
      <c r="Z168" t="s">
        <v>899</v>
      </c>
      <c r="AA168" t="s">
        <v>36</v>
      </c>
      <c r="AB168" t="s">
        <v>900</v>
      </c>
      <c r="AC168" t="s">
        <v>901</v>
      </c>
      <c r="AD168" t="s">
        <v>36</v>
      </c>
      <c r="AE168" t="s">
        <v>902</v>
      </c>
      <c r="AF168" t="s">
        <v>690</v>
      </c>
      <c r="AG168" s="1" t="s">
        <v>1593</v>
      </c>
    </row>
    <row r="169" spans="1:33" ht="15" customHeight="1" x14ac:dyDescent="0.25">
      <c r="A169" t="s">
        <v>904</v>
      </c>
      <c r="B169" t="s">
        <v>905</v>
      </c>
      <c r="C169">
        <v>4</v>
      </c>
      <c r="D169" t="s">
        <v>56</v>
      </c>
      <c r="E169" t="s">
        <v>174</v>
      </c>
      <c r="F169" t="s">
        <v>175</v>
      </c>
      <c r="G169" t="s">
        <v>122</v>
      </c>
      <c r="H169">
        <v>17</v>
      </c>
      <c r="I169">
        <v>2</v>
      </c>
      <c r="J169" t="s">
        <v>635</v>
      </c>
      <c r="K169">
        <v>75</v>
      </c>
      <c r="L169" t="s">
        <v>357</v>
      </c>
      <c r="M169">
        <v>30</v>
      </c>
      <c r="N169">
        <v>19</v>
      </c>
      <c r="O169">
        <v>10</v>
      </c>
      <c r="P169">
        <v>17</v>
      </c>
      <c r="Q169">
        <v>12</v>
      </c>
      <c r="R169">
        <v>11</v>
      </c>
      <c r="S169">
        <v>15</v>
      </c>
      <c r="T169">
        <v>4</v>
      </c>
      <c r="U169">
        <v>2</v>
      </c>
      <c r="V169">
        <v>3</v>
      </c>
      <c r="W169">
        <v>1</v>
      </c>
      <c r="X169">
        <v>2</v>
      </c>
      <c r="Y169">
        <v>2</v>
      </c>
      <c r="Z169" t="s">
        <v>219</v>
      </c>
      <c r="AA169" t="s">
        <v>36</v>
      </c>
      <c r="AB169" t="s">
        <v>36</v>
      </c>
      <c r="AC169" t="s">
        <v>98</v>
      </c>
      <c r="AD169" t="s">
        <v>36</v>
      </c>
      <c r="AE169" t="s">
        <v>179</v>
      </c>
      <c r="AF169" t="s">
        <v>165</v>
      </c>
      <c r="AG169" s="1" t="s">
        <v>906</v>
      </c>
    </row>
    <row r="170" spans="1:33" ht="15" customHeight="1" x14ac:dyDescent="0.25">
      <c r="A170" t="s">
        <v>907</v>
      </c>
      <c r="B170" t="s">
        <v>905</v>
      </c>
      <c r="C170">
        <v>10</v>
      </c>
      <c r="D170" t="s">
        <v>34</v>
      </c>
      <c r="E170" t="s">
        <v>174</v>
      </c>
      <c r="F170" t="s">
        <v>175</v>
      </c>
      <c r="G170" t="s">
        <v>122</v>
      </c>
      <c r="H170">
        <v>18</v>
      </c>
      <c r="I170">
        <v>4</v>
      </c>
      <c r="J170" t="s">
        <v>567</v>
      </c>
      <c r="K170">
        <v>178</v>
      </c>
      <c r="L170" t="s">
        <v>362</v>
      </c>
      <c r="M170">
        <v>40</v>
      </c>
      <c r="N170">
        <v>23</v>
      </c>
      <c r="O170">
        <v>10</v>
      </c>
      <c r="P170">
        <v>21</v>
      </c>
      <c r="Q170">
        <v>14</v>
      </c>
      <c r="R170">
        <v>11</v>
      </c>
      <c r="S170">
        <v>19</v>
      </c>
      <c r="T170">
        <v>6</v>
      </c>
      <c r="U170">
        <v>4</v>
      </c>
      <c r="V170">
        <v>5</v>
      </c>
      <c r="W170">
        <v>2</v>
      </c>
      <c r="X170">
        <v>4</v>
      </c>
      <c r="Y170">
        <v>4</v>
      </c>
      <c r="Z170" t="s">
        <v>908</v>
      </c>
      <c r="AA170" t="s">
        <v>36</v>
      </c>
      <c r="AB170" t="s">
        <v>36</v>
      </c>
      <c r="AC170" t="s">
        <v>98</v>
      </c>
      <c r="AD170" t="s">
        <v>36</v>
      </c>
      <c r="AE170" t="s">
        <v>909</v>
      </c>
      <c r="AF170" t="s">
        <v>186</v>
      </c>
      <c r="AG170" s="1" t="s">
        <v>910</v>
      </c>
    </row>
    <row r="171" spans="1:33" ht="15" customHeight="1" x14ac:dyDescent="0.25">
      <c r="A171" t="s">
        <v>911</v>
      </c>
      <c r="B171" t="s">
        <v>905</v>
      </c>
      <c r="C171">
        <v>17</v>
      </c>
      <c r="D171" t="s">
        <v>103</v>
      </c>
      <c r="E171" t="s">
        <v>174</v>
      </c>
      <c r="F171" t="s">
        <v>175</v>
      </c>
      <c r="G171" t="s">
        <v>122</v>
      </c>
      <c r="H171">
        <v>19</v>
      </c>
      <c r="I171">
        <v>12</v>
      </c>
      <c r="J171" t="s">
        <v>912</v>
      </c>
      <c r="K171">
        <v>256</v>
      </c>
      <c r="L171" t="s">
        <v>362</v>
      </c>
      <c r="M171">
        <v>40</v>
      </c>
      <c r="N171">
        <v>27</v>
      </c>
      <c r="O171">
        <v>10</v>
      </c>
      <c r="P171">
        <v>25</v>
      </c>
      <c r="Q171">
        <v>16</v>
      </c>
      <c r="R171">
        <v>13</v>
      </c>
      <c r="S171">
        <v>23</v>
      </c>
      <c r="T171">
        <v>8</v>
      </c>
      <c r="U171">
        <v>6</v>
      </c>
      <c r="V171">
        <v>7</v>
      </c>
      <c r="W171">
        <v>3</v>
      </c>
      <c r="X171">
        <v>7</v>
      </c>
      <c r="Y171">
        <v>6</v>
      </c>
      <c r="Z171" t="s">
        <v>913</v>
      </c>
      <c r="AA171" t="s">
        <v>36</v>
      </c>
      <c r="AB171" t="s">
        <v>36</v>
      </c>
      <c r="AC171" t="s">
        <v>98</v>
      </c>
      <c r="AD171" t="s">
        <v>36</v>
      </c>
      <c r="AE171" t="s">
        <v>914</v>
      </c>
      <c r="AF171" t="s">
        <v>186</v>
      </c>
      <c r="AG171" s="1" t="s">
        <v>1594</v>
      </c>
    </row>
    <row r="172" spans="1:33" ht="15" customHeight="1" x14ac:dyDescent="0.25">
      <c r="A172" t="s">
        <v>916</v>
      </c>
      <c r="B172" t="s">
        <v>905</v>
      </c>
      <c r="C172">
        <v>24</v>
      </c>
      <c r="D172" t="s">
        <v>194</v>
      </c>
      <c r="E172" t="s">
        <v>174</v>
      </c>
      <c r="F172" t="s">
        <v>175</v>
      </c>
      <c r="G172" t="s">
        <v>122</v>
      </c>
      <c r="H172">
        <v>22</v>
      </c>
      <c r="I172">
        <v>14</v>
      </c>
      <c r="J172" t="s">
        <v>917</v>
      </c>
      <c r="K172">
        <v>507</v>
      </c>
      <c r="L172" t="s">
        <v>362</v>
      </c>
      <c r="M172">
        <v>40</v>
      </c>
      <c r="N172">
        <v>30</v>
      </c>
      <c r="O172">
        <v>10</v>
      </c>
      <c r="P172">
        <v>29</v>
      </c>
      <c r="Q172">
        <v>18</v>
      </c>
      <c r="R172">
        <v>15</v>
      </c>
      <c r="S172">
        <v>27</v>
      </c>
      <c r="T172">
        <v>10</v>
      </c>
      <c r="U172">
        <v>7</v>
      </c>
      <c r="V172">
        <v>9</v>
      </c>
      <c r="W172">
        <v>4</v>
      </c>
      <c r="X172">
        <v>9</v>
      </c>
      <c r="Y172">
        <v>8</v>
      </c>
      <c r="Z172" t="s">
        <v>918</v>
      </c>
      <c r="AA172" t="s">
        <v>36</v>
      </c>
      <c r="AB172" t="s">
        <v>36</v>
      </c>
      <c r="AC172" t="s">
        <v>98</v>
      </c>
      <c r="AD172" t="s">
        <v>36</v>
      </c>
      <c r="AE172" t="s">
        <v>197</v>
      </c>
      <c r="AF172" t="s">
        <v>186</v>
      </c>
      <c r="AG172" s="1" t="s">
        <v>1595</v>
      </c>
    </row>
    <row r="173" spans="1:33" ht="15" customHeight="1" x14ac:dyDescent="0.25">
      <c r="A173" t="s">
        <v>920</v>
      </c>
      <c r="B173" t="s">
        <v>920</v>
      </c>
      <c r="C173">
        <v>11</v>
      </c>
      <c r="D173" t="s">
        <v>103</v>
      </c>
      <c r="E173" t="s">
        <v>76</v>
      </c>
      <c r="F173" t="s">
        <v>36</v>
      </c>
      <c r="G173" t="s">
        <v>58</v>
      </c>
      <c r="H173">
        <v>17</v>
      </c>
      <c r="I173">
        <v>5</v>
      </c>
      <c r="J173" t="s">
        <v>189</v>
      </c>
      <c r="K173">
        <v>195</v>
      </c>
      <c r="L173" t="s">
        <v>921</v>
      </c>
      <c r="M173">
        <v>40</v>
      </c>
      <c r="N173">
        <v>24</v>
      </c>
      <c r="O173">
        <v>13</v>
      </c>
      <c r="P173">
        <v>21</v>
      </c>
      <c r="Q173">
        <v>4</v>
      </c>
      <c r="R173">
        <v>10</v>
      </c>
      <c r="S173">
        <v>5</v>
      </c>
      <c r="T173">
        <v>7</v>
      </c>
      <c r="U173">
        <v>1</v>
      </c>
      <c r="V173">
        <v>5</v>
      </c>
      <c r="W173">
        <v>-3</v>
      </c>
      <c r="X173">
        <v>0</v>
      </c>
      <c r="Y173">
        <v>-3</v>
      </c>
      <c r="Z173" t="s">
        <v>36</v>
      </c>
      <c r="AA173" t="s">
        <v>36</v>
      </c>
      <c r="AB173" t="s">
        <v>36</v>
      </c>
      <c r="AC173" t="s">
        <v>821</v>
      </c>
      <c r="AD173" t="s">
        <v>36</v>
      </c>
      <c r="AE173" t="s">
        <v>461</v>
      </c>
      <c r="AF173" t="s">
        <v>63</v>
      </c>
      <c r="AG173" s="1" t="s">
        <v>1596</v>
      </c>
    </row>
    <row r="174" spans="1:33" ht="15" customHeight="1" x14ac:dyDescent="0.25">
      <c r="A174" t="s">
        <v>923</v>
      </c>
      <c r="B174" t="s">
        <v>923</v>
      </c>
      <c r="C174">
        <v>11</v>
      </c>
      <c r="D174" t="s">
        <v>194</v>
      </c>
      <c r="E174" t="s">
        <v>76</v>
      </c>
      <c r="F174" t="s">
        <v>36</v>
      </c>
      <c r="G174" t="s">
        <v>58</v>
      </c>
      <c r="H174">
        <v>15</v>
      </c>
      <c r="I174">
        <v>8</v>
      </c>
      <c r="J174" t="s">
        <v>924</v>
      </c>
      <c r="K174">
        <v>248</v>
      </c>
      <c r="L174" t="s">
        <v>925</v>
      </c>
      <c r="M174">
        <v>20</v>
      </c>
      <c r="N174">
        <v>28</v>
      </c>
      <c r="O174">
        <v>10</v>
      </c>
      <c r="P174">
        <v>20</v>
      </c>
      <c r="Q174">
        <v>3</v>
      </c>
      <c r="R174">
        <v>10</v>
      </c>
      <c r="S174">
        <v>9</v>
      </c>
      <c r="T174">
        <v>9</v>
      </c>
      <c r="U174">
        <v>4</v>
      </c>
      <c r="V174">
        <v>5</v>
      </c>
      <c r="W174">
        <v>-4</v>
      </c>
      <c r="X174">
        <v>4</v>
      </c>
      <c r="Y174">
        <v>-1</v>
      </c>
      <c r="Z174" t="s">
        <v>312</v>
      </c>
      <c r="AA174" t="s">
        <v>36</v>
      </c>
      <c r="AB174" t="s">
        <v>36</v>
      </c>
      <c r="AC174" t="s">
        <v>36</v>
      </c>
      <c r="AD174" t="s">
        <v>36</v>
      </c>
      <c r="AE174" t="s">
        <v>926</v>
      </c>
      <c r="AF174" t="s">
        <v>63</v>
      </c>
      <c r="AG174" s="1" t="s">
        <v>927</v>
      </c>
    </row>
    <row r="175" spans="1:33" ht="15" customHeight="1" x14ac:dyDescent="0.25">
      <c r="A175" t="s">
        <v>928</v>
      </c>
      <c r="B175" t="s">
        <v>928</v>
      </c>
      <c r="C175">
        <v>5</v>
      </c>
      <c r="D175" t="s">
        <v>34</v>
      </c>
      <c r="E175" t="s">
        <v>35</v>
      </c>
      <c r="F175" t="s">
        <v>36</v>
      </c>
      <c r="G175" t="s">
        <v>159</v>
      </c>
      <c r="H175">
        <v>20</v>
      </c>
      <c r="I175">
        <v>5</v>
      </c>
      <c r="J175" t="s">
        <v>482</v>
      </c>
      <c r="K175">
        <v>93</v>
      </c>
      <c r="L175" t="s">
        <v>929</v>
      </c>
      <c r="M175">
        <v>10</v>
      </c>
      <c r="N175">
        <v>18</v>
      </c>
      <c r="O175">
        <v>8</v>
      </c>
      <c r="P175">
        <v>17</v>
      </c>
      <c r="Q175">
        <v>7</v>
      </c>
      <c r="R175">
        <v>16</v>
      </c>
      <c r="S175">
        <v>6</v>
      </c>
      <c r="T175">
        <v>4</v>
      </c>
      <c r="U175">
        <v>-1</v>
      </c>
      <c r="V175">
        <v>3</v>
      </c>
      <c r="W175">
        <v>-2</v>
      </c>
      <c r="X175">
        <v>3</v>
      </c>
      <c r="Y175">
        <v>-2</v>
      </c>
      <c r="Z175" t="s">
        <v>184</v>
      </c>
      <c r="AA175" t="s">
        <v>36</v>
      </c>
      <c r="AB175" t="s">
        <v>36</v>
      </c>
      <c r="AC175" t="s">
        <v>36</v>
      </c>
      <c r="AD175" t="s">
        <v>36</v>
      </c>
      <c r="AE175" t="s">
        <v>679</v>
      </c>
      <c r="AF175" t="s">
        <v>63</v>
      </c>
      <c r="AG175" s="1" t="s">
        <v>1597</v>
      </c>
    </row>
    <row r="176" spans="1:33" ht="15" customHeight="1" x14ac:dyDescent="0.25">
      <c r="A176" t="s">
        <v>931</v>
      </c>
      <c r="B176" t="s">
        <v>931</v>
      </c>
      <c r="C176">
        <v>0.5</v>
      </c>
      <c r="D176" t="s">
        <v>56</v>
      </c>
      <c r="E176" t="s">
        <v>76</v>
      </c>
      <c r="F176" t="s">
        <v>36</v>
      </c>
      <c r="G176" t="s">
        <v>58</v>
      </c>
      <c r="H176">
        <v>14</v>
      </c>
      <c r="I176">
        <v>1</v>
      </c>
      <c r="J176" t="s">
        <v>59</v>
      </c>
      <c r="K176">
        <v>33</v>
      </c>
      <c r="L176" t="s">
        <v>210</v>
      </c>
      <c r="M176">
        <v>40</v>
      </c>
      <c r="N176">
        <v>13</v>
      </c>
      <c r="O176">
        <v>12</v>
      </c>
      <c r="P176">
        <v>13</v>
      </c>
      <c r="Q176">
        <v>2</v>
      </c>
      <c r="R176">
        <v>13</v>
      </c>
      <c r="S176">
        <v>6</v>
      </c>
      <c r="T176">
        <v>1</v>
      </c>
      <c r="U176">
        <v>1</v>
      </c>
      <c r="V176">
        <v>1</v>
      </c>
      <c r="W176">
        <v>-4</v>
      </c>
      <c r="X176">
        <v>1</v>
      </c>
      <c r="Y176">
        <v>-2</v>
      </c>
      <c r="Z176" t="s">
        <v>36</v>
      </c>
      <c r="AA176" t="s">
        <v>36</v>
      </c>
      <c r="AB176" t="s">
        <v>36</v>
      </c>
      <c r="AC176" t="s">
        <v>36</v>
      </c>
      <c r="AD176" t="s">
        <v>36</v>
      </c>
      <c r="AE176" t="s">
        <v>283</v>
      </c>
      <c r="AF176" t="s">
        <v>63</v>
      </c>
      <c r="AG176" s="1" t="s">
        <v>1598</v>
      </c>
    </row>
    <row r="177" spans="1:33" ht="15" customHeight="1" x14ac:dyDescent="0.25">
      <c r="A177" t="s">
        <v>933</v>
      </c>
      <c r="B177" t="s">
        <v>934</v>
      </c>
      <c r="C177">
        <v>0.5</v>
      </c>
      <c r="D177" t="s">
        <v>56</v>
      </c>
      <c r="E177" t="s">
        <v>120</v>
      </c>
      <c r="F177" t="s">
        <v>36</v>
      </c>
      <c r="G177" t="s">
        <v>37</v>
      </c>
      <c r="H177">
        <v>12</v>
      </c>
      <c r="I177">
        <v>0</v>
      </c>
      <c r="J177" t="s">
        <v>209</v>
      </c>
      <c r="K177">
        <v>22</v>
      </c>
      <c r="L177" t="s">
        <v>935</v>
      </c>
      <c r="M177">
        <v>30</v>
      </c>
      <c r="N177">
        <v>13</v>
      </c>
      <c r="O177">
        <v>11</v>
      </c>
      <c r="P177">
        <v>12</v>
      </c>
      <c r="Q177">
        <v>12</v>
      </c>
      <c r="R177">
        <v>13</v>
      </c>
      <c r="S177">
        <v>9</v>
      </c>
      <c r="T177">
        <v>1</v>
      </c>
      <c r="U177">
        <v>0</v>
      </c>
      <c r="V177">
        <v>1</v>
      </c>
      <c r="W177">
        <v>1</v>
      </c>
      <c r="X177">
        <v>1</v>
      </c>
      <c r="Y177">
        <v>-1</v>
      </c>
      <c r="Z177" t="s">
        <v>617</v>
      </c>
      <c r="AA177" t="s">
        <v>936</v>
      </c>
      <c r="AB177" t="s">
        <v>36</v>
      </c>
      <c r="AC177" t="s">
        <v>36</v>
      </c>
      <c r="AD177" t="s">
        <v>36</v>
      </c>
      <c r="AE177" t="s">
        <v>408</v>
      </c>
      <c r="AF177" t="s">
        <v>934</v>
      </c>
      <c r="AG177" s="1" t="s">
        <v>1599</v>
      </c>
    </row>
    <row r="178" spans="1:33" ht="15" customHeight="1" x14ac:dyDescent="0.25">
      <c r="A178" t="s">
        <v>938</v>
      </c>
      <c r="B178" t="s">
        <v>938</v>
      </c>
      <c r="C178">
        <v>5</v>
      </c>
      <c r="D178" t="s">
        <v>34</v>
      </c>
      <c r="E178" t="s">
        <v>45</v>
      </c>
      <c r="F178" t="s">
        <v>36</v>
      </c>
      <c r="G178" t="s">
        <v>159</v>
      </c>
      <c r="H178">
        <v>15</v>
      </c>
      <c r="I178">
        <v>2</v>
      </c>
      <c r="J178" t="s">
        <v>47</v>
      </c>
      <c r="K178">
        <v>90</v>
      </c>
      <c r="L178" t="s">
        <v>144</v>
      </c>
      <c r="M178">
        <v>30</v>
      </c>
      <c r="N178">
        <v>18</v>
      </c>
      <c r="O178">
        <v>14</v>
      </c>
      <c r="P178">
        <v>15</v>
      </c>
      <c r="Q178">
        <v>11</v>
      </c>
      <c r="R178">
        <v>10</v>
      </c>
      <c r="S178">
        <v>12</v>
      </c>
      <c r="T178">
        <v>4</v>
      </c>
      <c r="U178">
        <v>2</v>
      </c>
      <c r="V178">
        <v>2</v>
      </c>
      <c r="W178">
        <v>0</v>
      </c>
      <c r="X178">
        <v>0</v>
      </c>
      <c r="Y178">
        <v>1</v>
      </c>
      <c r="Z178" t="s">
        <v>36</v>
      </c>
      <c r="AA178" t="s">
        <v>36</v>
      </c>
      <c r="AB178" t="s">
        <v>146</v>
      </c>
      <c r="AC178" t="s">
        <v>98</v>
      </c>
      <c r="AD178" t="s">
        <v>36</v>
      </c>
      <c r="AE178" t="s">
        <v>51</v>
      </c>
      <c r="AF178" t="s">
        <v>117</v>
      </c>
      <c r="AG178" s="1" t="s">
        <v>1600</v>
      </c>
    </row>
    <row r="179" spans="1:33" ht="15" customHeight="1" x14ac:dyDescent="0.25">
      <c r="A179" t="s">
        <v>940</v>
      </c>
      <c r="B179" t="s">
        <v>940</v>
      </c>
      <c r="C179">
        <v>0.5</v>
      </c>
      <c r="D179" t="s">
        <v>56</v>
      </c>
      <c r="E179" t="s">
        <v>207</v>
      </c>
      <c r="F179" t="s">
        <v>36</v>
      </c>
      <c r="G179" t="s">
        <v>330</v>
      </c>
      <c r="H179">
        <v>13</v>
      </c>
      <c r="I179">
        <v>3</v>
      </c>
      <c r="J179" t="s">
        <v>941</v>
      </c>
      <c r="K179">
        <v>31</v>
      </c>
      <c r="L179" t="s">
        <v>210</v>
      </c>
      <c r="M179">
        <v>40</v>
      </c>
      <c r="N179">
        <v>12</v>
      </c>
      <c r="O179">
        <v>16</v>
      </c>
      <c r="P179">
        <v>11</v>
      </c>
      <c r="Q179">
        <v>12</v>
      </c>
      <c r="R179">
        <v>10</v>
      </c>
      <c r="S179">
        <v>14</v>
      </c>
      <c r="T179">
        <v>1</v>
      </c>
      <c r="U179">
        <v>3</v>
      </c>
      <c r="V179">
        <v>0</v>
      </c>
      <c r="W179">
        <v>1</v>
      </c>
      <c r="X179">
        <v>0</v>
      </c>
      <c r="Y179">
        <v>2</v>
      </c>
      <c r="Z179" t="s">
        <v>942</v>
      </c>
      <c r="AA179" t="s">
        <v>36</v>
      </c>
      <c r="AB179" t="s">
        <v>36</v>
      </c>
      <c r="AC179" t="s">
        <v>36</v>
      </c>
      <c r="AD179" t="s">
        <v>36</v>
      </c>
      <c r="AE179" t="s">
        <v>398</v>
      </c>
      <c r="AF179" t="s">
        <v>608</v>
      </c>
      <c r="AG179" s="1" t="s">
        <v>943</v>
      </c>
    </row>
    <row r="180" spans="1:33" ht="15" customHeight="1" x14ac:dyDescent="0.25">
      <c r="A180" t="s">
        <v>944</v>
      </c>
      <c r="B180" t="s">
        <v>944</v>
      </c>
      <c r="C180">
        <v>0.5</v>
      </c>
      <c r="D180" t="s">
        <v>82</v>
      </c>
      <c r="E180" t="s">
        <v>83</v>
      </c>
      <c r="F180" t="s">
        <v>36</v>
      </c>
      <c r="G180" t="s">
        <v>46</v>
      </c>
      <c r="H180">
        <v>13</v>
      </c>
      <c r="I180">
        <v>2</v>
      </c>
      <c r="J180" t="s">
        <v>945</v>
      </c>
      <c r="K180">
        <v>16</v>
      </c>
      <c r="L180" t="s">
        <v>85</v>
      </c>
      <c r="M180">
        <v>30</v>
      </c>
      <c r="N180">
        <v>11</v>
      </c>
      <c r="O180">
        <v>14</v>
      </c>
      <c r="P180">
        <v>12</v>
      </c>
      <c r="Q180">
        <v>11</v>
      </c>
      <c r="R180">
        <v>13</v>
      </c>
      <c r="S180">
        <v>11</v>
      </c>
      <c r="T180">
        <v>0</v>
      </c>
      <c r="U180">
        <v>2</v>
      </c>
      <c r="V180">
        <v>1</v>
      </c>
      <c r="W180">
        <v>0</v>
      </c>
      <c r="X180">
        <v>1</v>
      </c>
      <c r="Y180">
        <v>0</v>
      </c>
      <c r="Z180" t="s">
        <v>946</v>
      </c>
      <c r="AA180" t="s">
        <v>36</v>
      </c>
      <c r="AB180" t="s">
        <v>36</v>
      </c>
      <c r="AC180" t="s">
        <v>36</v>
      </c>
      <c r="AD180" t="s">
        <v>947</v>
      </c>
      <c r="AE180" t="s">
        <v>449</v>
      </c>
      <c r="AF180" t="s">
        <v>100</v>
      </c>
      <c r="AG180" s="1" t="s">
        <v>948</v>
      </c>
    </row>
    <row r="181" spans="1:33" ht="15" customHeight="1" x14ac:dyDescent="0.25">
      <c r="A181" t="s">
        <v>949</v>
      </c>
      <c r="B181" t="s">
        <v>949</v>
      </c>
      <c r="C181">
        <v>2</v>
      </c>
      <c r="D181" t="s">
        <v>56</v>
      </c>
      <c r="E181" t="s">
        <v>207</v>
      </c>
      <c r="F181" t="s">
        <v>36</v>
      </c>
      <c r="G181" t="s">
        <v>122</v>
      </c>
      <c r="H181">
        <v>14</v>
      </c>
      <c r="I181">
        <v>1</v>
      </c>
      <c r="J181" t="s">
        <v>532</v>
      </c>
      <c r="K181">
        <v>52</v>
      </c>
      <c r="L181" t="s">
        <v>935</v>
      </c>
      <c r="M181">
        <v>30</v>
      </c>
      <c r="N181">
        <v>16</v>
      </c>
      <c r="O181">
        <v>13</v>
      </c>
      <c r="P181">
        <v>16</v>
      </c>
      <c r="Q181">
        <v>12</v>
      </c>
      <c r="R181">
        <v>12</v>
      </c>
      <c r="S181">
        <v>13</v>
      </c>
      <c r="T181">
        <v>3</v>
      </c>
      <c r="U181">
        <v>1</v>
      </c>
      <c r="V181">
        <v>3</v>
      </c>
      <c r="W181">
        <v>1</v>
      </c>
      <c r="X181">
        <v>1</v>
      </c>
      <c r="Y181">
        <v>1</v>
      </c>
      <c r="Z181" t="s">
        <v>36</v>
      </c>
      <c r="AA181" t="s">
        <v>36</v>
      </c>
      <c r="AB181" t="s">
        <v>36</v>
      </c>
      <c r="AC181" t="s">
        <v>36</v>
      </c>
      <c r="AD181" t="s">
        <v>36</v>
      </c>
      <c r="AE181" t="s">
        <v>283</v>
      </c>
      <c r="AF181" t="s">
        <v>950</v>
      </c>
      <c r="AG181" s="1" t="s">
        <v>1601</v>
      </c>
    </row>
    <row r="182" spans="1:33" ht="15" customHeight="1" x14ac:dyDescent="0.25">
      <c r="A182" t="s">
        <v>952</v>
      </c>
      <c r="B182" t="s">
        <v>952</v>
      </c>
      <c r="C182">
        <v>0.5</v>
      </c>
      <c r="D182" t="s">
        <v>56</v>
      </c>
      <c r="E182" t="s">
        <v>518</v>
      </c>
      <c r="F182" t="s">
        <v>36</v>
      </c>
      <c r="G182" t="s">
        <v>122</v>
      </c>
      <c r="H182">
        <v>12</v>
      </c>
      <c r="I182">
        <v>2</v>
      </c>
      <c r="J182" t="s">
        <v>953</v>
      </c>
      <c r="K182">
        <v>27</v>
      </c>
      <c r="L182" t="s">
        <v>210</v>
      </c>
      <c r="M182">
        <v>40</v>
      </c>
      <c r="N182">
        <v>6</v>
      </c>
      <c r="O182">
        <v>14</v>
      </c>
      <c r="P182">
        <v>13</v>
      </c>
      <c r="Q182">
        <v>6</v>
      </c>
      <c r="R182">
        <v>10</v>
      </c>
      <c r="S182">
        <v>8</v>
      </c>
      <c r="T182">
        <v>-2</v>
      </c>
      <c r="U182">
        <v>2</v>
      </c>
      <c r="V182">
        <v>1</v>
      </c>
      <c r="W182">
        <v>-2</v>
      </c>
      <c r="X182">
        <v>0</v>
      </c>
      <c r="Y182">
        <v>-1</v>
      </c>
      <c r="Z182" t="s">
        <v>553</v>
      </c>
      <c r="AA182" t="s">
        <v>954</v>
      </c>
      <c r="AB182" t="s">
        <v>415</v>
      </c>
      <c r="AC182" t="s">
        <v>955</v>
      </c>
      <c r="AD182" t="s">
        <v>36</v>
      </c>
      <c r="AE182" t="s">
        <v>51</v>
      </c>
      <c r="AF182" t="s">
        <v>63</v>
      </c>
      <c r="AG182" s="1" t="s">
        <v>1602</v>
      </c>
    </row>
    <row r="183" spans="1:33" ht="15" customHeight="1" x14ac:dyDescent="0.25">
      <c r="A183" t="s">
        <v>957</v>
      </c>
      <c r="B183" t="s">
        <v>957</v>
      </c>
      <c r="C183">
        <v>5</v>
      </c>
      <c r="D183" t="s">
        <v>34</v>
      </c>
      <c r="E183" t="s">
        <v>94</v>
      </c>
      <c r="F183" t="s">
        <v>36</v>
      </c>
      <c r="G183" t="s">
        <v>58</v>
      </c>
      <c r="H183">
        <v>15</v>
      </c>
      <c r="I183">
        <v>-1</v>
      </c>
      <c r="J183" t="s">
        <v>251</v>
      </c>
      <c r="K183">
        <v>110</v>
      </c>
      <c r="L183" t="s">
        <v>958</v>
      </c>
      <c r="M183">
        <v>30</v>
      </c>
      <c r="N183">
        <v>18</v>
      </c>
      <c r="O183">
        <v>8</v>
      </c>
      <c r="P183">
        <v>16</v>
      </c>
      <c r="Q183">
        <v>5</v>
      </c>
      <c r="R183">
        <v>10</v>
      </c>
      <c r="S183">
        <v>5</v>
      </c>
      <c r="T183">
        <v>4</v>
      </c>
      <c r="U183">
        <v>-1</v>
      </c>
      <c r="V183">
        <v>3</v>
      </c>
      <c r="W183">
        <v>-3</v>
      </c>
      <c r="X183">
        <v>0</v>
      </c>
      <c r="Y183">
        <v>-3</v>
      </c>
      <c r="Z183" t="s">
        <v>402</v>
      </c>
      <c r="AA183" t="s">
        <v>821</v>
      </c>
      <c r="AB183" t="s">
        <v>36</v>
      </c>
      <c r="AC183" t="s">
        <v>959</v>
      </c>
      <c r="AD183" t="s">
        <v>36</v>
      </c>
      <c r="AE183" t="s">
        <v>403</v>
      </c>
      <c r="AF183" t="s">
        <v>63</v>
      </c>
      <c r="AG183" s="1" t="s">
        <v>1603</v>
      </c>
    </row>
    <row r="184" spans="1:33" ht="15" customHeight="1" x14ac:dyDescent="0.25">
      <c r="A184" t="s">
        <v>961</v>
      </c>
      <c r="B184" t="s">
        <v>961</v>
      </c>
      <c r="C184">
        <v>7</v>
      </c>
      <c r="D184" t="s">
        <v>34</v>
      </c>
      <c r="E184" t="s">
        <v>57</v>
      </c>
      <c r="F184" t="s">
        <v>36</v>
      </c>
      <c r="G184" t="s">
        <v>58</v>
      </c>
      <c r="H184">
        <v>17</v>
      </c>
      <c r="I184">
        <v>-1</v>
      </c>
      <c r="J184" t="s">
        <v>267</v>
      </c>
      <c r="K184">
        <v>142</v>
      </c>
      <c r="L184" t="s">
        <v>85</v>
      </c>
      <c r="M184">
        <v>30</v>
      </c>
      <c r="N184">
        <v>18</v>
      </c>
      <c r="O184">
        <v>8</v>
      </c>
      <c r="P184">
        <v>18</v>
      </c>
      <c r="Q184">
        <v>7</v>
      </c>
      <c r="R184">
        <v>10</v>
      </c>
      <c r="S184">
        <v>3</v>
      </c>
      <c r="T184">
        <v>4</v>
      </c>
      <c r="U184">
        <v>-1</v>
      </c>
      <c r="V184">
        <v>4</v>
      </c>
      <c r="W184">
        <v>-2</v>
      </c>
      <c r="X184">
        <v>0</v>
      </c>
      <c r="Y184">
        <v>-4</v>
      </c>
      <c r="Z184" t="s">
        <v>36</v>
      </c>
      <c r="AA184" t="s">
        <v>36</v>
      </c>
      <c r="AB184" t="s">
        <v>36</v>
      </c>
      <c r="AC184" t="s">
        <v>962</v>
      </c>
      <c r="AD184" t="s">
        <v>36</v>
      </c>
      <c r="AE184" t="s">
        <v>963</v>
      </c>
      <c r="AF184" t="s">
        <v>1604</v>
      </c>
      <c r="AG184" s="1" t="s">
        <v>1605</v>
      </c>
    </row>
    <row r="185" spans="1:33" ht="15" customHeight="1" x14ac:dyDescent="0.25">
      <c r="A185" t="s">
        <v>966</v>
      </c>
      <c r="B185" t="s">
        <v>967</v>
      </c>
      <c r="C185">
        <v>2</v>
      </c>
      <c r="D185" t="s">
        <v>56</v>
      </c>
      <c r="E185" t="s">
        <v>174</v>
      </c>
      <c r="F185" t="s">
        <v>247</v>
      </c>
      <c r="G185" t="s">
        <v>208</v>
      </c>
      <c r="H185">
        <v>17</v>
      </c>
      <c r="I185">
        <v>2</v>
      </c>
      <c r="J185" t="s">
        <v>968</v>
      </c>
      <c r="K185">
        <v>45</v>
      </c>
      <c r="L185" t="s">
        <v>311</v>
      </c>
      <c r="M185">
        <v>30</v>
      </c>
      <c r="N185">
        <v>19</v>
      </c>
      <c r="O185">
        <v>10</v>
      </c>
      <c r="P185">
        <v>17</v>
      </c>
      <c r="Q185">
        <v>12</v>
      </c>
      <c r="R185">
        <v>11</v>
      </c>
      <c r="S185">
        <v>15</v>
      </c>
      <c r="T185">
        <v>4</v>
      </c>
      <c r="U185">
        <v>2</v>
      </c>
      <c r="V185">
        <v>3</v>
      </c>
      <c r="W185">
        <v>1</v>
      </c>
      <c r="X185">
        <v>2</v>
      </c>
      <c r="Y185">
        <v>2</v>
      </c>
      <c r="Z185" t="s">
        <v>219</v>
      </c>
      <c r="AA185" t="s">
        <v>36</v>
      </c>
      <c r="AB185" t="s">
        <v>36</v>
      </c>
      <c r="AC185" t="s">
        <v>146</v>
      </c>
      <c r="AD185" t="s">
        <v>36</v>
      </c>
      <c r="AE185" t="s">
        <v>179</v>
      </c>
      <c r="AF185" t="s">
        <v>165</v>
      </c>
      <c r="AG185" s="1" t="s">
        <v>969</v>
      </c>
    </row>
    <row r="186" spans="1:33" ht="15" customHeight="1" x14ac:dyDescent="0.25">
      <c r="A186" t="s">
        <v>970</v>
      </c>
      <c r="B186" t="s">
        <v>967</v>
      </c>
      <c r="C186">
        <v>9</v>
      </c>
      <c r="D186" t="s">
        <v>34</v>
      </c>
      <c r="E186" t="s">
        <v>174</v>
      </c>
      <c r="F186" t="s">
        <v>247</v>
      </c>
      <c r="G186" t="s">
        <v>208</v>
      </c>
      <c r="H186">
        <v>18</v>
      </c>
      <c r="I186">
        <v>4</v>
      </c>
      <c r="J186" t="s">
        <v>971</v>
      </c>
      <c r="K186">
        <v>168</v>
      </c>
      <c r="L186" t="s">
        <v>124</v>
      </c>
      <c r="M186">
        <v>40</v>
      </c>
      <c r="N186">
        <v>23</v>
      </c>
      <c r="O186">
        <v>10</v>
      </c>
      <c r="P186">
        <v>21</v>
      </c>
      <c r="Q186">
        <v>14</v>
      </c>
      <c r="R186">
        <v>11</v>
      </c>
      <c r="S186">
        <v>19</v>
      </c>
      <c r="T186">
        <v>6</v>
      </c>
      <c r="U186">
        <v>4</v>
      </c>
      <c r="V186">
        <v>5</v>
      </c>
      <c r="W186">
        <v>2</v>
      </c>
      <c r="X186">
        <v>4</v>
      </c>
      <c r="Y186">
        <v>4</v>
      </c>
      <c r="Z186" t="s">
        <v>972</v>
      </c>
      <c r="AA186" t="s">
        <v>36</v>
      </c>
      <c r="AB186" t="s">
        <v>36</v>
      </c>
      <c r="AC186" t="s">
        <v>146</v>
      </c>
      <c r="AD186" t="s">
        <v>36</v>
      </c>
      <c r="AE186" t="s">
        <v>909</v>
      </c>
      <c r="AF186" t="s">
        <v>186</v>
      </c>
      <c r="AG186" s="1" t="s">
        <v>973</v>
      </c>
    </row>
    <row r="187" spans="1:33" ht="15" customHeight="1" x14ac:dyDescent="0.25">
      <c r="A187" t="s">
        <v>974</v>
      </c>
      <c r="B187" t="s">
        <v>967</v>
      </c>
      <c r="C187">
        <v>16</v>
      </c>
      <c r="D187" t="s">
        <v>103</v>
      </c>
      <c r="E187" t="s">
        <v>174</v>
      </c>
      <c r="F187" t="s">
        <v>247</v>
      </c>
      <c r="G187" t="s">
        <v>208</v>
      </c>
      <c r="H187">
        <v>19</v>
      </c>
      <c r="I187">
        <v>10</v>
      </c>
      <c r="J187" t="s">
        <v>975</v>
      </c>
      <c r="K187">
        <v>216</v>
      </c>
      <c r="L187" t="s">
        <v>124</v>
      </c>
      <c r="M187">
        <v>40</v>
      </c>
      <c r="N187">
        <v>27</v>
      </c>
      <c r="O187">
        <v>10</v>
      </c>
      <c r="P187">
        <v>25</v>
      </c>
      <c r="Q187">
        <v>16</v>
      </c>
      <c r="R187">
        <v>13</v>
      </c>
      <c r="S187">
        <v>22</v>
      </c>
      <c r="T187">
        <v>8</v>
      </c>
      <c r="U187">
        <v>5</v>
      </c>
      <c r="V187">
        <v>7</v>
      </c>
      <c r="W187">
        <v>3</v>
      </c>
      <c r="X187">
        <v>6</v>
      </c>
      <c r="Y187">
        <v>6</v>
      </c>
      <c r="Z187" t="s">
        <v>976</v>
      </c>
      <c r="AA187" t="s">
        <v>36</v>
      </c>
      <c r="AB187" t="s">
        <v>36</v>
      </c>
      <c r="AC187" t="s">
        <v>146</v>
      </c>
      <c r="AD187" t="s">
        <v>36</v>
      </c>
      <c r="AE187" t="s">
        <v>191</v>
      </c>
      <c r="AF187" t="s">
        <v>186</v>
      </c>
      <c r="AG187" s="1" t="s">
        <v>1606</v>
      </c>
    </row>
    <row r="188" spans="1:33" ht="15" customHeight="1" x14ac:dyDescent="0.25">
      <c r="A188" t="s">
        <v>978</v>
      </c>
      <c r="B188" t="s">
        <v>967</v>
      </c>
      <c r="C188">
        <v>23</v>
      </c>
      <c r="D188" t="s">
        <v>194</v>
      </c>
      <c r="E188" t="s">
        <v>174</v>
      </c>
      <c r="F188" t="s">
        <v>247</v>
      </c>
      <c r="G188" t="s">
        <v>208</v>
      </c>
      <c r="H188">
        <v>22</v>
      </c>
      <c r="I188">
        <v>14</v>
      </c>
      <c r="J188" t="s">
        <v>979</v>
      </c>
      <c r="K188">
        <v>468</v>
      </c>
      <c r="L188" t="s">
        <v>124</v>
      </c>
      <c r="M188">
        <v>40</v>
      </c>
      <c r="N188">
        <v>30</v>
      </c>
      <c r="O188">
        <v>10</v>
      </c>
      <c r="P188">
        <v>29</v>
      </c>
      <c r="Q188">
        <v>18</v>
      </c>
      <c r="R188">
        <v>15</v>
      </c>
      <c r="S188">
        <v>26</v>
      </c>
      <c r="T188">
        <v>10</v>
      </c>
      <c r="U188">
        <v>7</v>
      </c>
      <c r="V188">
        <v>9</v>
      </c>
      <c r="W188">
        <v>4</v>
      </c>
      <c r="X188">
        <v>9</v>
      </c>
      <c r="Y188">
        <v>8</v>
      </c>
      <c r="Z188" t="s">
        <v>980</v>
      </c>
      <c r="AA188" t="s">
        <v>36</v>
      </c>
      <c r="AB188" t="s">
        <v>36</v>
      </c>
      <c r="AC188" t="s">
        <v>146</v>
      </c>
      <c r="AD188" t="s">
        <v>36</v>
      </c>
      <c r="AE188" t="s">
        <v>197</v>
      </c>
      <c r="AF188" t="s">
        <v>186</v>
      </c>
      <c r="AG188" s="1" t="s">
        <v>1607</v>
      </c>
    </row>
    <row r="189" spans="1:33" ht="15" customHeight="1" x14ac:dyDescent="0.25">
      <c r="A189" t="s">
        <v>982</v>
      </c>
      <c r="B189" t="s">
        <v>983</v>
      </c>
      <c r="C189">
        <v>0.25</v>
      </c>
      <c r="D189" t="s">
        <v>56</v>
      </c>
      <c r="E189" t="s">
        <v>518</v>
      </c>
      <c r="F189" t="s">
        <v>36</v>
      </c>
      <c r="G189" t="s">
        <v>37</v>
      </c>
      <c r="H189">
        <v>14</v>
      </c>
      <c r="I189">
        <v>3</v>
      </c>
      <c r="J189" t="s">
        <v>984</v>
      </c>
      <c r="K189">
        <v>13</v>
      </c>
      <c r="L189" t="s">
        <v>85</v>
      </c>
      <c r="M189">
        <v>30</v>
      </c>
      <c r="N189">
        <v>10</v>
      </c>
      <c r="O189">
        <v>16</v>
      </c>
      <c r="P189">
        <v>15</v>
      </c>
      <c r="Q189">
        <v>6</v>
      </c>
      <c r="R189">
        <v>8</v>
      </c>
      <c r="S189">
        <v>5</v>
      </c>
      <c r="T189">
        <v>0</v>
      </c>
      <c r="U189">
        <v>3</v>
      </c>
      <c r="V189">
        <v>2</v>
      </c>
      <c r="W189">
        <v>-2</v>
      </c>
      <c r="X189">
        <v>-1</v>
      </c>
      <c r="Y189">
        <v>-3</v>
      </c>
      <c r="Z189" t="s">
        <v>36</v>
      </c>
      <c r="AA189" t="s">
        <v>36</v>
      </c>
      <c r="AB189" t="s">
        <v>985</v>
      </c>
      <c r="AC189" t="s">
        <v>774</v>
      </c>
      <c r="AD189" t="s">
        <v>986</v>
      </c>
      <c r="AE189" t="s">
        <v>151</v>
      </c>
      <c r="AF189" t="s">
        <v>1528</v>
      </c>
      <c r="AG189" s="1" t="s">
        <v>1608</v>
      </c>
    </row>
    <row r="190" spans="1:33" ht="15" customHeight="1" x14ac:dyDescent="0.25">
      <c r="A190" t="s">
        <v>988</v>
      </c>
      <c r="B190" t="s">
        <v>983</v>
      </c>
      <c r="C190">
        <v>0.5</v>
      </c>
      <c r="D190" t="s">
        <v>34</v>
      </c>
      <c r="E190" t="s">
        <v>518</v>
      </c>
      <c r="F190" t="s">
        <v>36</v>
      </c>
      <c r="G190" t="s">
        <v>37</v>
      </c>
      <c r="H190">
        <v>13</v>
      </c>
      <c r="I190">
        <v>1</v>
      </c>
      <c r="J190" t="s">
        <v>989</v>
      </c>
      <c r="K190">
        <v>22</v>
      </c>
      <c r="L190" t="s">
        <v>990</v>
      </c>
      <c r="M190">
        <v>60</v>
      </c>
      <c r="N190">
        <v>18</v>
      </c>
      <c r="O190">
        <v>12</v>
      </c>
      <c r="P190">
        <v>15</v>
      </c>
      <c r="Q190">
        <v>2</v>
      </c>
      <c r="R190">
        <v>8</v>
      </c>
      <c r="S190">
        <v>5</v>
      </c>
      <c r="T190">
        <v>4</v>
      </c>
      <c r="U190">
        <v>1</v>
      </c>
      <c r="V190">
        <v>2</v>
      </c>
      <c r="W190">
        <v>-4</v>
      </c>
      <c r="X190">
        <v>-1</v>
      </c>
      <c r="Y190">
        <v>-3</v>
      </c>
      <c r="Z190" t="s">
        <v>36</v>
      </c>
      <c r="AA190" t="s">
        <v>36</v>
      </c>
      <c r="AB190" t="s">
        <v>985</v>
      </c>
      <c r="AC190" t="s">
        <v>774</v>
      </c>
      <c r="AD190" t="s">
        <v>36</v>
      </c>
      <c r="AE190" t="s">
        <v>151</v>
      </c>
      <c r="AF190" t="s">
        <v>63</v>
      </c>
      <c r="AG190" s="1" t="s">
        <v>991</v>
      </c>
    </row>
    <row r="191" spans="1:33" ht="15" customHeight="1" x14ac:dyDescent="0.25">
      <c r="A191" t="s">
        <v>992</v>
      </c>
      <c r="B191" t="s">
        <v>983</v>
      </c>
      <c r="C191">
        <v>2</v>
      </c>
      <c r="D191" t="s">
        <v>34</v>
      </c>
      <c r="E191" t="s">
        <v>518</v>
      </c>
      <c r="F191" t="s">
        <v>36</v>
      </c>
      <c r="G191" t="s">
        <v>37</v>
      </c>
      <c r="H191">
        <v>12</v>
      </c>
      <c r="I191">
        <v>0</v>
      </c>
      <c r="J191" t="s">
        <v>77</v>
      </c>
      <c r="K191">
        <v>45</v>
      </c>
      <c r="L191" t="s">
        <v>210</v>
      </c>
      <c r="M191">
        <v>40</v>
      </c>
      <c r="N191">
        <v>18</v>
      </c>
      <c r="O191">
        <v>11</v>
      </c>
      <c r="P191">
        <v>15</v>
      </c>
      <c r="Q191">
        <v>6</v>
      </c>
      <c r="R191">
        <v>8</v>
      </c>
      <c r="S191">
        <v>5</v>
      </c>
      <c r="T191">
        <v>4</v>
      </c>
      <c r="U191">
        <v>0</v>
      </c>
      <c r="V191">
        <v>2</v>
      </c>
      <c r="W191">
        <v>-2</v>
      </c>
      <c r="X191">
        <v>-1</v>
      </c>
      <c r="Y191">
        <v>-3</v>
      </c>
      <c r="Z191" t="s">
        <v>36</v>
      </c>
      <c r="AA191" t="s">
        <v>36</v>
      </c>
      <c r="AB191" t="s">
        <v>985</v>
      </c>
      <c r="AC191" t="s">
        <v>774</v>
      </c>
      <c r="AD191" t="s">
        <v>36</v>
      </c>
      <c r="AE191" t="s">
        <v>151</v>
      </c>
      <c r="AF191" t="s">
        <v>1609</v>
      </c>
      <c r="AG191" s="1" t="s">
        <v>1610</v>
      </c>
    </row>
    <row r="192" spans="1:33" ht="15" customHeight="1" x14ac:dyDescent="0.25">
      <c r="A192" t="s">
        <v>995</v>
      </c>
      <c r="B192" t="s">
        <v>995</v>
      </c>
      <c r="C192">
        <v>21</v>
      </c>
      <c r="D192" t="s">
        <v>34</v>
      </c>
      <c r="E192" t="s">
        <v>373</v>
      </c>
      <c r="F192" t="s">
        <v>411</v>
      </c>
      <c r="G192" t="s">
        <v>208</v>
      </c>
      <c r="H192">
        <v>21</v>
      </c>
      <c r="I192">
        <v>20</v>
      </c>
      <c r="J192" t="s">
        <v>996</v>
      </c>
      <c r="K192">
        <v>297</v>
      </c>
      <c r="L192" t="s">
        <v>997</v>
      </c>
      <c r="M192">
        <v>50</v>
      </c>
      <c r="N192">
        <v>26</v>
      </c>
      <c r="O192">
        <v>22</v>
      </c>
      <c r="P192">
        <v>26</v>
      </c>
      <c r="Q192">
        <v>25</v>
      </c>
      <c r="R192">
        <v>25</v>
      </c>
      <c r="S192">
        <v>30</v>
      </c>
      <c r="T192">
        <v>8</v>
      </c>
      <c r="U192">
        <v>6</v>
      </c>
      <c r="V192">
        <v>8</v>
      </c>
      <c r="W192">
        <v>7</v>
      </c>
      <c r="X192">
        <v>7</v>
      </c>
      <c r="Y192">
        <v>10</v>
      </c>
      <c r="Z192" t="s">
        <v>998</v>
      </c>
      <c r="AA192" t="s">
        <v>36</v>
      </c>
      <c r="AB192" t="s">
        <v>36</v>
      </c>
      <c r="AC192" t="s">
        <v>999</v>
      </c>
      <c r="AD192" t="s">
        <v>36</v>
      </c>
      <c r="AE192" t="s">
        <v>1000</v>
      </c>
      <c r="AF192" t="s">
        <v>378</v>
      </c>
      <c r="AG192" s="1" t="s">
        <v>1611</v>
      </c>
    </row>
    <row r="193" spans="1:33" ht="15" customHeight="1" x14ac:dyDescent="0.25">
      <c r="A193" t="s">
        <v>1002</v>
      </c>
      <c r="B193" t="s">
        <v>1002</v>
      </c>
      <c r="C193">
        <v>1</v>
      </c>
      <c r="D193" t="s">
        <v>56</v>
      </c>
      <c r="E193" t="s">
        <v>518</v>
      </c>
      <c r="F193" t="s">
        <v>36</v>
      </c>
      <c r="G193" t="s">
        <v>122</v>
      </c>
      <c r="H193">
        <v>12</v>
      </c>
      <c r="I193">
        <v>2</v>
      </c>
      <c r="J193" t="s">
        <v>453</v>
      </c>
      <c r="K193">
        <v>22</v>
      </c>
      <c r="L193" t="s">
        <v>1003</v>
      </c>
      <c r="M193">
        <v>30</v>
      </c>
      <c r="N193">
        <v>1</v>
      </c>
      <c r="O193">
        <v>14</v>
      </c>
      <c r="P193">
        <v>11</v>
      </c>
      <c r="Q193">
        <v>10</v>
      </c>
      <c r="R193">
        <v>10</v>
      </c>
      <c r="S193">
        <v>11</v>
      </c>
      <c r="T193">
        <v>-5</v>
      </c>
      <c r="U193">
        <v>2</v>
      </c>
      <c r="V193">
        <v>0</v>
      </c>
      <c r="W193">
        <v>0</v>
      </c>
      <c r="X193">
        <v>0</v>
      </c>
      <c r="Y193">
        <v>0</v>
      </c>
      <c r="Z193" t="s">
        <v>36</v>
      </c>
      <c r="AA193" t="s">
        <v>526</v>
      </c>
      <c r="AB193" t="s">
        <v>36</v>
      </c>
      <c r="AC193" t="s">
        <v>1004</v>
      </c>
      <c r="AD193" t="s">
        <v>36</v>
      </c>
      <c r="AE193" t="s">
        <v>51</v>
      </c>
      <c r="AF193" t="s">
        <v>1528</v>
      </c>
      <c r="AG193" s="1" t="s">
        <v>1612</v>
      </c>
    </row>
    <row r="194" spans="1:33" ht="15" customHeight="1" x14ac:dyDescent="0.25">
      <c r="A194" t="s">
        <v>1006</v>
      </c>
      <c r="B194" t="s">
        <v>1007</v>
      </c>
      <c r="C194">
        <v>1</v>
      </c>
      <c r="D194" t="s">
        <v>669</v>
      </c>
      <c r="E194" t="s">
        <v>373</v>
      </c>
      <c r="F194" t="s">
        <v>36</v>
      </c>
      <c r="G194" t="s">
        <v>208</v>
      </c>
      <c r="H194">
        <v>13</v>
      </c>
      <c r="I194">
        <v>3</v>
      </c>
      <c r="J194" t="s">
        <v>1008</v>
      </c>
      <c r="K194">
        <v>24</v>
      </c>
      <c r="L194" t="s">
        <v>348</v>
      </c>
      <c r="M194">
        <v>20</v>
      </c>
      <c r="N194">
        <v>6</v>
      </c>
      <c r="O194">
        <v>17</v>
      </c>
      <c r="P194">
        <v>13</v>
      </c>
      <c r="Q194">
        <v>15</v>
      </c>
      <c r="R194">
        <v>12</v>
      </c>
      <c r="S194">
        <v>11</v>
      </c>
      <c r="T194">
        <v>-2</v>
      </c>
      <c r="U194">
        <v>3</v>
      </c>
      <c r="V194">
        <v>1</v>
      </c>
      <c r="W194">
        <v>2</v>
      </c>
      <c r="X194">
        <v>1</v>
      </c>
      <c r="Y194">
        <v>0</v>
      </c>
      <c r="Z194" t="s">
        <v>1009</v>
      </c>
      <c r="AA194" t="s">
        <v>1010</v>
      </c>
      <c r="AB194" t="s">
        <v>36</v>
      </c>
      <c r="AC194" t="s">
        <v>36</v>
      </c>
      <c r="AD194" t="s">
        <v>36</v>
      </c>
      <c r="AE194" t="s">
        <v>283</v>
      </c>
      <c r="AF194" t="s">
        <v>627</v>
      </c>
      <c r="AG194" s="1" t="s">
        <v>1011</v>
      </c>
    </row>
    <row r="195" spans="1:33" ht="15" customHeight="1" x14ac:dyDescent="0.25">
      <c r="A195" t="s">
        <v>1012</v>
      </c>
      <c r="B195" t="s">
        <v>1007</v>
      </c>
      <c r="C195">
        <v>11</v>
      </c>
      <c r="D195" t="s">
        <v>34</v>
      </c>
      <c r="E195" t="s">
        <v>373</v>
      </c>
      <c r="F195" t="s">
        <v>36</v>
      </c>
      <c r="G195" t="s">
        <v>113</v>
      </c>
      <c r="H195">
        <v>17</v>
      </c>
      <c r="I195">
        <v>10</v>
      </c>
      <c r="J195" t="s">
        <v>1013</v>
      </c>
      <c r="K195">
        <v>170</v>
      </c>
      <c r="L195" t="s">
        <v>659</v>
      </c>
      <c r="M195">
        <v>40</v>
      </c>
      <c r="N195">
        <v>18</v>
      </c>
      <c r="O195">
        <v>15</v>
      </c>
      <c r="P195">
        <v>16</v>
      </c>
      <c r="Q195">
        <v>18</v>
      </c>
      <c r="R195">
        <v>18</v>
      </c>
      <c r="S195">
        <v>18</v>
      </c>
      <c r="T195">
        <v>4</v>
      </c>
      <c r="U195">
        <v>2</v>
      </c>
      <c r="V195">
        <v>3</v>
      </c>
      <c r="W195">
        <v>4</v>
      </c>
      <c r="X195">
        <v>4</v>
      </c>
      <c r="Y195">
        <v>4</v>
      </c>
      <c r="Z195" t="s">
        <v>1014</v>
      </c>
      <c r="AA195" t="s">
        <v>1015</v>
      </c>
      <c r="AB195" t="s">
        <v>36</v>
      </c>
      <c r="AC195" t="s">
        <v>1016</v>
      </c>
      <c r="AD195" t="s">
        <v>36</v>
      </c>
      <c r="AE195" t="s">
        <v>762</v>
      </c>
      <c r="AF195" t="s">
        <v>627</v>
      </c>
      <c r="AG195" s="1" t="s">
        <v>1613</v>
      </c>
    </row>
    <row r="196" spans="1:33" ht="15" customHeight="1" x14ac:dyDescent="0.25">
      <c r="A196" t="s">
        <v>1018</v>
      </c>
      <c r="B196" t="s">
        <v>1007</v>
      </c>
      <c r="C196">
        <v>17</v>
      </c>
      <c r="D196" t="s">
        <v>34</v>
      </c>
      <c r="E196" t="s">
        <v>373</v>
      </c>
      <c r="F196" t="s">
        <v>36</v>
      </c>
      <c r="G196" t="s">
        <v>113</v>
      </c>
      <c r="H196">
        <v>17</v>
      </c>
      <c r="I196">
        <v>12</v>
      </c>
      <c r="J196" t="s">
        <v>674</v>
      </c>
      <c r="K196">
        <v>199</v>
      </c>
      <c r="L196" t="s">
        <v>659</v>
      </c>
      <c r="M196">
        <v>40</v>
      </c>
      <c r="N196">
        <v>22</v>
      </c>
      <c r="O196">
        <v>10</v>
      </c>
      <c r="P196">
        <v>20</v>
      </c>
      <c r="Q196">
        <v>16</v>
      </c>
      <c r="R196">
        <v>23</v>
      </c>
      <c r="S196">
        <v>18</v>
      </c>
      <c r="T196">
        <v>6</v>
      </c>
      <c r="U196">
        <v>6</v>
      </c>
      <c r="V196">
        <v>11</v>
      </c>
      <c r="W196">
        <v>9</v>
      </c>
      <c r="X196">
        <v>12</v>
      </c>
      <c r="Y196">
        <v>4</v>
      </c>
      <c r="Z196" t="s">
        <v>1019</v>
      </c>
      <c r="AA196" t="s">
        <v>1015</v>
      </c>
      <c r="AB196" t="s">
        <v>36</v>
      </c>
      <c r="AC196" t="s">
        <v>1016</v>
      </c>
      <c r="AD196" t="s">
        <v>36</v>
      </c>
      <c r="AE196" t="s">
        <v>1020</v>
      </c>
      <c r="AF196" t="s">
        <v>627</v>
      </c>
      <c r="AG196" s="1" t="s">
        <v>1614</v>
      </c>
    </row>
    <row r="197" spans="1:33" ht="15" customHeight="1" x14ac:dyDescent="0.25">
      <c r="A197" t="s">
        <v>1022</v>
      </c>
      <c r="B197" t="s">
        <v>1022</v>
      </c>
      <c r="C197">
        <v>8</v>
      </c>
      <c r="D197" t="s">
        <v>34</v>
      </c>
      <c r="E197" t="s">
        <v>120</v>
      </c>
      <c r="F197" t="s">
        <v>36</v>
      </c>
      <c r="G197" t="s">
        <v>122</v>
      </c>
      <c r="H197">
        <v>17</v>
      </c>
      <c r="I197">
        <v>3</v>
      </c>
      <c r="J197" t="s">
        <v>1023</v>
      </c>
      <c r="K197">
        <v>135</v>
      </c>
      <c r="L197" t="s">
        <v>210</v>
      </c>
      <c r="M197">
        <v>40</v>
      </c>
      <c r="N197">
        <v>18</v>
      </c>
      <c r="O197">
        <v>17</v>
      </c>
      <c r="P197">
        <v>14</v>
      </c>
      <c r="Q197">
        <v>16</v>
      </c>
      <c r="R197">
        <v>15</v>
      </c>
      <c r="S197">
        <v>16</v>
      </c>
      <c r="T197">
        <v>4</v>
      </c>
      <c r="U197">
        <v>6</v>
      </c>
      <c r="V197">
        <v>5</v>
      </c>
      <c r="W197">
        <v>3</v>
      </c>
      <c r="X197">
        <v>5</v>
      </c>
      <c r="Y197">
        <v>6</v>
      </c>
      <c r="Z197" t="s">
        <v>36</v>
      </c>
      <c r="AA197" t="s">
        <v>36</v>
      </c>
      <c r="AB197" t="s">
        <v>36</v>
      </c>
      <c r="AC197" t="s">
        <v>671</v>
      </c>
      <c r="AD197" t="s">
        <v>36</v>
      </c>
      <c r="AE197" t="s">
        <v>612</v>
      </c>
      <c r="AF197" t="s">
        <v>729</v>
      </c>
      <c r="AG197" s="1" t="s">
        <v>1024</v>
      </c>
    </row>
    <row r="198" spans="1:33" ht="15" customHeight="1" x14ac:dyDescent="0.25">
      <c r="A198" t="s">
        <v>1025</v>
      </c>
      <c r="B198" t="s">
        <v>1025</v>
      </c>
      <c r="C198">
        <v>0.25</v>
      </c>
      <c r="D198" t="s">
        <v>669</v>
      </c>
      <c r="E198" t="s">
        <v>207</v>
      </c>
      <c r="F198" t="s">
        <v>36</v>
      </c>
      <c r="G198" t="s">
        <v>298</v>
      </c>
      <c r="H198">
        <v>15</v>
      </c>
      <c r="I198">
        <v>4</v>
      </c>
      <c r="J198" t="s">
        <v>1026</v>
      </c>
      <c r="K198">
        <v>10</v>
      </c>
      <c r="L198" t="s">
        <v>332</v>
      </c>
      <c r="M198">
        <v>10</v>
      </c>
      <c r="N198">
        <v>3</v>
      </c>
      <c r="O198">
        <v>18</v>
      </c>
      <c r="P198">
        <v>10</v>
      </c>
      <c r="Q198">
        <v>14</v>
      </c>
      <c r="R198">
        <v>13</v>
      </c>
      <c r="S198">
        <v>11</v>
      </c>
      <c r="T198">
        <v>-4</v>
      </c>
      <c r="U198">
        <v>4</v>
      </c>
      <c r="V198">
        <v>0</v>
      </c>
      <c r="W198">
        <v>2</v>
      </c>
      <c r="X198">
        <v>1</v>
      </c>
      <c r="Y198">
        <v>0</v>
      </c>
      <c r="Z198" t="s">
        <v>1027</v>
      </c>
      <c r="AA198" t="s">
        <v>36</v>
      </c>
      <c r="AB198" t="s">
        <v>36</v>
      </c>
      <c r="AC198" t="s">
        <v>36</v>
      </c>
      <c r="AD198" t="s">
        <v>36</v>
      </c>
      <c r="AE198" t="s">
        <v>301</v>
      </c>
      <c r="AF198" t="s">
        <v>608</v>
      </c>
      <c r="AG198" s="1" t="s">
        <v>1615</v>
      </c>
    </row>
    <row r="199" spans="1:33" ht="15" customHeight="1" x14ac:dyDescent="0.25">
      <c r="A199" t="s">
        <v>1029</v>
      </c>
      <c r="B199" t="s">
        <v>1029</v>
      </c>
      <c r="C199">
        <v>1</v>
      </c>
      <c r="D199" t="s">
        <v>82</v>
      </c>
      <c r="E199" t="s">
        <v>83</v>
      </c>
      <c r="F199" t="s">
        <v>36</v>
      </c>
      <c r="G199" t="s">
        <v>46</v>
      </c>
      <c r="H199">
        <v>12</v>
      </c>
      <c r="I199">
        <v>4</v>
      </c>
      <c r="J199" t="s">
        <v>548</v>
      </c>
      <c r="K199">
        <v>27</v>
      </c>
      <c r="L199" t="s">
        <v>144</v>
      </c>
      <c r="M199">
        <v>30</v>
      </c>
      <c r="N199">
        <v>10</v>
      </c>
      <c r="O199">
        <v>15</v>
      </c>
      <c r="P199">
        <v>10</v>
      </c>
      <c r="Q199">
        <v>12</v>
      </c>
      <c r="R199">
        <v>14</v>
      </c>
      <c r="S199">
        <v>16</v>
      </c>
      <c r="T199">
        <v>0</v>
      </c>
      <c r="U199">
        <v>2</v>
      </c>
      <c r="V199">
        <v>0</v>
      </c>
      <c r="W199">
        <v>1</v>
      </c>
      <c r="X199">
        <v>2</v>
      </c>
      <c r="Y199">
        <v>3</v>
      </c>
      <c r="Z199" t="s">
        <v>1030</v>
      </c>
      <c r="AA199" t="s">
        <v>36</v>
      </c>
      <c r="AB199" t="s">
        <v>36</v>
      </c>
      <c r="AC199" t="s">
        <v>36</v>
      </c>
      <c r="AD199" t="s">
        <v>1616</v>
      </c>
      <c r="AE199" t="s">
        <v>89</v>
      </c>
      <c r="AF199" t="s">
        <v>100</v>
      </c>
      <c r="AG199" s="1" t="s">
        <v>1617</v>
      </c>
    </row>
    <row r="200" spans="1:33" ht="15" customHeight="1" x14ac:dyDescent="0.25">
      <c r="A200" t="s">
        <v>1033</v>
      </c>
      <c r="B200" t="s">
        <v>1033</v>
      </c>
      <c r="C200">
        <v>0.125</v>
      </c>
      <c r="D200" t="s">
        <v>669</v>
      </c>
      <c r="E200" t="s">
        <v>76</v>
      </c>
      <c r="F200" t="s">
        <v>36</v>
      </c>
      <c r="G200" t="s">
        <v>58</v>
      </c>
      <c r="H200">
        <v>13</v>
      </c>
      <c r="I200">
        <v>3</v>
      </c>
      <c r="J200" t="s">
        <v>1034</v>
      </c>
      <c r="K200">
        <v>5</v>
      </c>
      <c r="L200" t="s">
        <v>332</v>
      </c>
      <c r="M200">
        <v>10</v>
      </c>
      <c r="N200">
        <v>4</v>
      </c>
      <c r="O200">
        <v>16</v>
      </c>
      <c r="P200">
        <v>11</v>
      </c>
      <c r="Q200">
        <v>2</v>
      </c>
      <c r="R200">
        <v>8</v>
      </c>
      <c r="S200">
        <v>6</v>
      </c>
      <c r="T200">
        <v>-3</v>
      </c>
      <c r="U200">
        <v>3</v>
      </c>
      <c r="V200">
        <v>0</v>
      </c>
      <c r="W200">
        <v>-4</v>
      </c>
      <c r="X200">
        <v>-1</v>
      </c>
      <c r="Y200">
        <v>-2</v>
      </c>
      <c r="Z200" t="s">
        <v>36</v>
      </c>
      <c r="AA200" t="s">
        <v>36</v>
      </c>
      <c r="AB200" t="s">
        <v>36</v>
      </c>
      <c r="AC200" t="s">
        <v>36</v>
      </c>
      <c r="AD200" t="s">
        <v>36</v>
      </c>
      <c r="AE200" t="s">
        <v>151</v>
      </c>
      <c r="AF200" t="s">
        <v>63</v>
      </c>
      <c r="AG200" s="1" t="s">
        <v>1618</v>
      </c>
    </row>
    <row r="201" spans="1:33" ht="15" customHeight="1" x14ac:dyDescent="0.25">
      <c r="A201" t="s">
        <v>1036</v>
      </c>
      <c r="B201" t="s">
        <v>1036</v>
      </c>
      <c r="C201">
        <v>7</v>
      </c>
      <c r="D201" t="s">
        <v>103</v>
      </c>
      <c r="E201" t="s">
        <v>339</v>
      </c>
      <c r="F201" t="s">
        <v>36</v>
      </c>
      <c r="G201" t="s">
        <v>46</v>
      </c>
      <c r="H201">
        <v>17</v>
      </c>
      <c r="I201">
        <v>5</v>
      </c>
      <c r="J201" t="s">
        <v>1037</v>
      </c>
      <c r="K201">
        <v>126</v>
      </c>
      <c r="L201" t="s">
        <v>210</v>
      </c>
      <c r="M201">
        <v>40</v>
      </c>
      <c r="N201">
        <v>23</v>
      </c>
      <c r="O201">
        <v>15</v>
      </c>
      <c r="P201">
        <v>20</v>
      </c>
      <c r="Q201">
        <v>10</v>
      </c>
      <c r="R201">
        <v>12</v>
      </c>
      <c r="S201">
        <v>9</v>
      </c>
      <c r="T201">
        <v>6</v>
      </c>
      <c r="U201">
        <v>5</v>
      </c>
      <c r="V201">
        <v>8</v>
      </c>
      <c r="W201">
        <v>0</v>
      </c>
      <c r="X201">
        <v>4</v>
      </c>
      <c r="Y201">
        <v>-1</v>
      </c>
      <c r="Z201" t="s">
        <v>1038</v>
      </c>
      <c r="AA201" t="s">
        <v>36</v>
      </c>
      <c r="AB201" t="s">
        <v>36</v>
      </c>
      <c r="AC201" t="s">
        <v>36</v>
      </c>
      <c r="AD201" t="s">
        <v>36</v>
      </c>
      <c r="AE201" t="s">
        <v>321</v>
      </c>
      <c r="AF201" t="s">
        <v>339</v>
      </c>
      <c r="AG201" s="1" t="s">
        <v>1619</v>
      </c>
    </row>
    <row r="202" spans="1:33" ht="15" customHeight="1" x14ac:dyDescent="0.25">
      <c r="A202" t="s">
        <v>1040</v>
      </c>
      <c r="B202" t="s">
        <v>1040</v>
      </c>
      <c r="C202">
        <v>10</v>
      </c>
      <c r="D202" t="s">
        <v>34</v>
      </c>
      <c r="E202" t="s">
        <v>57</v>
      </c>
      <c r="F202" t="s">
        <v>36</v>
      </c>
      <c r="G202" t="s">
        <v>58</v>
      </c>
      <c r="H202">
        <v>18</v>
      </c>
      <c r="I202">
        <v>3</v>
      </c>
      <c r="J202" t="s">
        <v>760</v>
      </c>
      <c r="K202">
        <v>220</v>
      </c>
      <c r="L202" t="s">
        <v>85</v>
      </c>
      <c r="M202">
        <v>30</v>
      </c>
      <c r="N202">
        <v>22</v>
      </c>
      <c r="O202">
        <v>9</v>
      </c>
      <c r="P202">
        <v>20</v>
      </c>
      <c r="Q202">
        <v>3</v>
      </c>
      <c r="R202">
        <v>11</v>
      </c>
      <c r="S202">
        <v>1</v>
      </c>
      <c r="T202">
        <v>6</v>
      </c>
      <c r="U202">
        <v>-1</v>
      </c>
      <c r="V202">
        <v>5</v>
      </c>
      <c r="W202">
        <v>-4</v>
      </c>
      <c r="X202">
        <v>0</v>
      </c>
      <c r="Y202">
        <v>-5</v>
      </c>
      <c r="Z202" t="s">
        <v>36</v>
      </c>
      <c r="AA202" t="s">
        <v>36</v>
      </c>
      <c r="AB202" t="s">
        <v>36</v>
      </c>
      <c r="AC202" t="s">
        <v>1041</v>
      </c>
      <c r="AD202" t="s">
        <v>36</v>
      </c>
      <c r="AE202" t="s">
        <v>708</v>
      </c>
      <c r="AF202" t="s">
        <v>1559</v>
      </c>
      <c r="AG202" s="1" t="s">
        <v>1620</v>
      </c>
    </row>
    <row r="203" spans="1:33" ht="15" customHeight="1" x14ac:dyDescent="0.25">
      <c r="A203" t="s">
        <v>1043</v>
      </c>
      <c r="B203" t="s">
        <v>1043</v>
      </c>
      <c r="C203">
        <v>13</v>
      </c>
      <c r="D203" t="s">
        <v>103</v>
      </c>
      <c r="E203" t="s">
        <v>339</v>
      </c>
      <c r="F203" t="s">
        <v>36</v>
      </c>
      <c r="G203" t="s">
        <v>248</v>
      </c>
      <c r="H203">
        <v>16</v>
      </c>
      <c r="I203">
        <v>7</v>
      </c>
      <c r="J203" t="s">
        <v>1044</v>
      </c>
      <c r="K203">
        <v>230</v>
      </c>
      <c r="L203" t="s">
        <v>1045</v>
      </c>
      <c r="M203">
        <v>50</v>
      </c>
      <c r="N203">
        <v>29</v>
      </c>
      <c r="O203">
        <v>14</v>
      </c>
      <c r="P203">
        <v>20</v>
      </c>
      <c r="Q203">
        <v>16</v>
      </c>
      <c r="R203">
        <v>20</v>
      </c>
      <c r="S203">
        <v>18</v>
      </c>
      <c r="T203">
        <v>14</v>
      </c>
      <c r="U203">
        <v>2</v>
      </c>
      <c r="V203">
        <v>10</v>
      </c>
      <c r="W203">
        <v>3</v>
      </c>
      <c r="X203">
        <v>10</v>
      </c>
      <c r="Y203">
        <v>9</v>
      </c>
      <c r="Z203" t="s">
        <v>1046</v>
      </c>
      <c r="AA203" t="s">
        <v>146</v>
      </c>
      <c r="AB203" t="s">
        <v>36</v>
      </c>
      <c r="AC203" t="s">
        <v>422</v>
      </c>
      <c r="AD203" t="s">
        <v>36</v>
      </c>
      <c r="AE203" t="s">
        <v>1047</v>
      </c>
      <c r="AF203" t="s">
        <v>344</v>
      </c>
      <c r="AG203" s="1" t="s">
        <v>1621</v>
      </c>
    </row>
    <row r="204" spans="1:33" ht="15" customHeight="1" x14ac:dyDescent="0.25">
      <c r="A204" t="s">
        <v>1049</v>
      </c>
      <c r="B204" t="s">
        <v>1049</v>
      </c>
      <c r="C204">
        <v>4</v>
      </c>
      <c r="D204" t="s">
        <v>56</v>
      </c>
      <c r="E204" t="s">
        <v>120</v>
      </c>
      <c r="F204" t="s">
        <v>36</v>
      </c>
      <c r="G204" t="s">
        <v>159</v>
      </c>
      <c r="H204">
        <v>15</v>
      </c>
      <c r="I204">
        <v>3</v>
      </c>
      <c r="J204" t="s">
        <v>1050</v>
      </c>
      <c r="K204">
        <v>71</v>
      </c>
      <c r="L204" t="s">
        <v>311</v>
      </c>
      <c r="M204">
        <v>30</v>
      </c>
      <c r="N204">
        <v>8</v>
      </c>
      <c r="O204">
        <v>17</v>
      </c>
      <c r="P204">
        <v>13</v>
      </c>
      <c r="Q204">
        <v>15</v>
      </c>
      <c r="R204">
        <v>12</v>
      </c>
      <c r="S204">
        <v>20</v>
      </c>
      <c r="T204">
        <v>-1</v>
      </c>
      <c r="U204">
        <v>3</v>
      </c>
      <c r="V204">
        <v>1</v>
      </c>
      <c r="W204">
        <v>2</v>
      </c>
      <c r="X204">
        <v>1</v>
      </c>
      <c r="Y204">
        <v>5</v>
      </c>
      <c r="Z204" t="s">
        <v>694</v>
      </c>
      <c r="AA204" t="s">
        <v>695</v>
      </c>
      <c r="AB204" t="s">
        <v>36</v>
      </c>
      <c r="AC204" t="s">
        <v>36</v>
      </c>
      <c r="AD204" t="s">
        <v>36</v>
      </c>
      <c r="AE204" t="s">
        <v>212</v>
      </c>
      <c r="AF204" t="s">
        <v>696</v>
      </c>
      <c r="AG204" s="1" t="s">
        <v>1622</v>
      </c>
    </row>
    <row r="205" spans="1:33" ht="15" customHeight="1" x14ac:dyDescent="0.25">
      <c r="A205" t="s">
        <v>1052</v>
      </c>
      <c r="B205" t="s">
        <v>1052</v>
      </c>
      <c r="C205">
        <v>30</v>
      </c>
      <c r="D205" t="s">
        <v>194</v>
      </c>
      <c r="E205" t="s">
        <v>76</v>
      </c>
      <c r="F205" t="s">
        <v>720</v>
      </c>
      <c r="G205" t="s">
        <v>58</v>
      </c>
      <c r="H205">
        <v>25</v>
      </c>
      <c r="I205">
        <v>18</v>
      </c>
      <c r="J205" t="s">
        <v>1053</v>
      </c>
      <c r="K205">
        <v>697</v>
      </c>
      <c r="L205" t="s">
        <v>1054</v>
      </c>
      <c r="M205">
        <v>60</v>
      </c>
      <c r="N205">
        <v>30</v>
      </c>
      <c r="O205">
        <v>11</v>
      </c>
      <c r="P205">
        <v>30</v>
      </c>
      <c r="Q205">
        <v>3</v>
      </c>
      <c r="R205">
        <v>11</v>
      </c>
      <c r="S205">
        <v>11</v>
      </c>
      <c r="T205">
        <v>10</v>
      </c>
      <c r="U205">
        <v>9</v>
      </c>
      <c r="V205">
        <v>10</v>
      </c>
      <c r="W205">
        <v>5</v>
      </c>
      <c r="X205">
        <v>9</v>
      </c>
      <c r="Y205">
        <v>9</v>
      </c>
      <c r="Z205" t="s">
        <v>125</v>
      </c>
      <c r="AA205" t="s">
        <v>326</v>
      </c>
      <c r="AB205" t="s">
        <v>36</v>
      </c>
      <c r="AC205" t="s">
        <v>1055</v>
      </c>
      <c r="AD205" t="s">
        <v>36</v>
      </c>
      <c r="AE205" t="s">
        <v>1056</v>
      </c>
      <c r="AF205" t="s">
        <v>63</v>
      </c>
      <c r="AG205" s="1" t="s">
        <v>1623</v>
      </c>
    </row>
    <row r="206" spans="1:33" ht="15" customHeight="1" x14ac:dyDescent="0.25">
      <c r="A206" t="s">
        <v>1058</v>
      </c>
      <c r="B206" t="s">
        <v>1059</v>
      </c>
      <c r="C206">
        <v>0.5</v>
      </c>
      <c r="D206" t="s">
        <v>82</v>
      </c>
      <c r="E206" t="s">
        <v>83</v>
      </c>
      <c r="F206" t="s">
        <v>36</v>
      </c>
      <c r="G206" t="s">
        <v>46</v>
      </c>
      <c r="H206">
        <v>12</v>
      </c>
      <c r="I206">
        <v>1</v>
      </c>
      <c r="J206" t="s">
        <v>1060</v>
      </c>
      <c r="K206">
        <v>32</v>
      </c>
      <c r="L206" t="s">
        <v>85</v>
      </c>
      <c r="M206">
        <v>30</v>
      </c>
      <c r="N206">
        <v>15</v>
      </c>
      <c r="O206">
        <v>12</v>
      </c>
      <c r="P206">
        <v>14</v>
      </c>
      <c r="Q206">
        <v>10</v>
      </c>
      <c r="R206">
        <v>10</v>
      </c>
      <c r="S206">
        <v>11</v>
      </c>
      <c r="T206">
        <v>2</v>
      </c>
      <c r="U206">
        <v>1</v>
      </c>
      <c r="V206">
        <v>2</v>
      </c>
      <c r="W206">
        <v>0</v>
      </c>
      <c r="X206">
        <v>0</v>
      </c>
      <c r="Y206">
        <v>0</v>
      </c>
      <c r="Z206" t="s">
        <v>36</v>
      </c>
      <c r="AA206" t="s">
        <v>36</v>
      </c>
      <c r="AB206" t="s">
        <v>36</v>
      </c>
      <c r="AC206" t="s">
        <v>36</v>
      </c>
      <c r="AD206" t="s">
        <v>1061</v>
      </c>
      <c r="AE206" t="s">
        <v>99</v>
      </c>
      <c r="AF206" t="s">
        <v>170</v>
      </c>
      <c r="AG206" s="1" t="s">
        <v>1624</v>
      </c>
    </row>
    <row r="207" spans="1:33" ht="15" customHeight="1" x14ac:dyDescent="0.25">
      <c r="A207" t="s">
        <v>1063</v>
      </c>
      <c r="B207" t="s">
        <v>1059</v>
      </c>
      <c r="C207">
        <v>4</v>
      </c>
      <c r="D207" t="s">
        <v>82</v>
      </c>
      <c r="E207" t="s">
        <v>83</v>
      </c>
      <c r="F207" t="s">
        <v>36</v>
      </c>
      <c r="G207" t="s">
        <v>46</v>
      </c>
      <c r="H207">
        <v>16</v>
      </c>
      <c r="I207">
        <v>2</v>
      </c>
      <c r="J207" t="s">
        <v>606</v>
      </c>
      <c r="K207">
        <v>82</v>
      </c>
      <c r="L207" t="s">
        <v>85</v>
      </c>
      <c r="M207">
        <v>30</v>
      </c>
      <c r="N207">
        <v>17</v>
      </c>
      <c r="O207">
        <v>14</v>
      </c>
      <c r="P207">
        <v>16</v>
      </c>
      <c r="Q207">
        <v>11</v>
      </c>
      <c r="R207">
        <v>10</v>
      </c>
      <c r="S207">
        <v>11</v>
      </c>
      <c r="T207">
        <v>5</v>
      </c>
      <c r="U207">
        <v>2</v>
      </c>
      <c r="V207">
        <v>5</v>
      </c>
      <c r="W207">
        <v>0</v>
      </c>
      <c r="X207">
        <v>0</v>
      </c>
      <c r="Y207">
        <v>2</v>
      </c>
      <c r="Z207" t="s">
        <v>36</v>
      </c>
      <c r="AA207" t="s">
        <v>36</v>
      </c>
      <c r="AB207" t="s">
        <v>36</v>
      </c>
      <c r="AC207" t="s">
        <v>36</v>
      </c>
      <c r="AD207" t="s">
        <v>1064</v>
      </c>
      <c r="AE207" t="s">
        <v>99</v>
      </c>
      <c r="AF207" t="s">
        <v>100</v>
      </c>
      <c r="AG207" s="1" t="s">
        <v>1625</v>
      </c>
    </row>
    <row r="208" spans="1:33" ht="15" customHeight="1" x14ac:dyDescent="0.25">
      <c r="A208" t="s">
        <v>1066</v>
      </c>
      <c r="B208" t="s">
        <v>1066</v>
      </c>
      <c r="C208">
        <v>9</v>
      </c>
      <c r="D208" t="s">
        <v>103</v>
      </c>
      <c r="E208" t="s">
        <v>94</v>
      </c>
      <c r="F208" t="s">
        <v>36</v>
      </c>
      <c r="G208" t="s">
        <v>248</v>
      </c>
      <c r="H208">
        <v>16</v>
      </c>
      <c r="I208">
        <v>3</v>
      </c>
      <c r="J208" t="s">
        <v>1067</v>
      </c>
      <c r="K208">
        <v>138</v>
      </c>
      <c r="L208" t="s">
        <v>85</v>
      </c>
      <c r="M208">
        <v>30</v>
      </c>
      <c r="N208">
        <v>23</v>
      </c>
      <c r="O208">
        <v>8</v>
      </c>
      <c r="P208">
        <v>21</v>
      </c>
      <c r="Q208">
        <v>12</v>
      </c>
      <c r="R208">
        <v>16</v>
      </c>
      <c r="S208">
        <v>12</v>
      </c>
      <c r="T208">
        <v>6</v>
      </c>
      <c r="U208">
        <v>-1</v>
      </c>
      <c r="V208">
        <v>5</v>
      </c>
      <c r="W208">
        <v>1</v>
      </c>
      <c r="X208">
        <v>3</v>
      </c>
      <c r="Y208">
        <v>1</v>
      </c>
      <c r="Z208" t="s">
        <v>36</v>
      </c>
      <c r="AA208" t="s">
        <v>105</v>
      </c>
      <c r="AB208" t="s">
        <v>98</v>
      </c>
      <c r="AC208" t="s">
        <v>36</v>
      </c>
      <c r="AD208" t="s">
        <v>36</v>
      </c>
      <c r="AE208" t="s">
        <v>301</v>
      </c>
      <c r="AF208" t="s">
        <v>1068</v>
      </c>
      <c r="AG208" s="1" t="s">
        <v>1626</v>
      </c>
    </row>
    <row r="209" spans="1:33" ht="15" customHeight="1" x14ac:dyDescent="0.25">
      <c r="A209" t="s">
        <v>1070</v>
      </c>
      <c r="B209" t="s">
        <v>1070</v>
      </c>
      <c r="C209">
        <v>5</v>
      </c>
      <c r="D209" t="s">
        <v>34</v>
      </c>
      <c r="E209" t="s">
        <v>339</v>
      </c>
      <c r="F209" t="s">
        <v>36</v>
      </c>
      <c r="G209" t="s">
        <v>122</v>
      </c>
      <c r="H209">
        <v>15</v>
      </c>
      <c r="I209">
        <v>1</v>
      </c>
      <c r="J209" t="s">
        <v>291</v>
      </c>
      <c r="K209">
        <v>94</v>
      </c>
      <c r="L209" t="s">
        <v>85</v>
      </c>
      <c r="M209">
        <v>30</v>
      </c>
      <c r="N209">
        <v>18</v>
      </c>
      <c r="O209">
        <v>13</v>
      </c>
      <c r="P209">
        <v>20</v>
      </c>
      <c r="Q209">
        <v>7</v>
      </c>
      <c r="R209">
        <v>9</v>
      </c>
      <c r="S209">
        <v>7</v>
      </c>
      <c r="T209">
        <v>4</v>
      </c>
      <c r="U209">
        <v>1</v>
      </c>
      <c r="V209">
        <v>5</v>
      </c>
      <c r="W209">
        <v>-2</v>
      </c>
      <c r="X209">
        <v>-1</v>
      </c>
      <c r="Y209">
        <v>-2</v>
      </c>
      <c r="Z209" t="s">
        <v>617</v>
      </c>
      <c r="AA209" t="s">
        <v>36</v>
      </c>
      <c r="AB209" t="s">
        <v>36</v>
      </c>
      <c r="AC209" t="s">
        <v>36</v>
      </c>
      <c r="AD209" t="s">
        <v>36</v>
      </c>
      <c r="AE209" t="s">
        <v>212</v>
      </c>
      <c r="AF209" t="s">
        <v>339</v>
      </c>
      <c r="AG209" s="1" t="s">
        <v>1627</v>
      </c>
    </row>
    <row r="210" spans="1:33" ht="15" customHeight="1" x14ac:dyDescent="0.25">
      <c r="A210" t="s">
        <v>1072</v>
      </c>
      <c r="B210" t="s">
        <v>1070</v>
      </c>
      <c r="C210">
        <v>0.5</v>
      </c>
      <c r="D210" t="s">
        <v>66</v>
      </c>
      <c r="E210" t="s">
        <v>339</v>
      </c>
      <c r="F210" t="s">
        <v>36</v>
      </c>
      <c r="G210" t="s">
        <v>122</v>
      </c>
      <c r="H210">
        <v>13</v>
      </c>
      <c r="I210">
        <v>1</v>
      </c>
      <c r="J210" t="s">
        <v>67</v>
      </c>
      <c r="K210">
        <v>14</v>
      </c>
      <c r="L210" t="s">
        <v>96</v>
      </c>
      <c r="M210">
        <v>20</v>
      </c>
      <c r="N210">
        <v>18</v>
      </c>
      <c r="O210">
        <v>12</v>
      </c>
      <c r="P210">
        <v>10</v>
      </c>
      <c r="Q210">
        <v>1</v>
      </c>
      <c r="R210">
        <v>9</v>
      </c>
      <c r="S210">
        <v>1</v>
      </c>
      <c r="T210">
        <v>4</v>
      </c>
      <c r="U210">
        <v>1</v>
      </c>
      <c r="V210">
        <v>0</v>
      </c>
      <c r="W210">
        <v>-5</v>
      </c>
      <c r="X210">
        <v>-1</v>
      </c>
      <c r="Y210">
        <v>-5</v>
      </c>
      <c r="Z210" t="s">
        <v>36</v>
      </c>
      <c r="AA210" t="s">
        <v>36</v>
      </c>
      <c r="AB210" t="s">
        <v>36</v>
      </c>
      <c r="AC210" t="s">
        <v>36</v>
      </c>
      <c r="AD210" t="s">
        <v>36</v>
      </c>
      <c r="AE210" t="s">
        <v>151</v>
      </c>
      <c r="AF210" t="s">
        <v>63</v>
      </c>
      <c r="AG210" s="1" t="s">
        <v>1628</v>
      </c>
    </row>
    <row r="211" spans="1:33" ht="15" customHeight="1" x14ac:dyDescent="0.25">
      <c r="A211" t="s">
        <v>1074</v>
      </c>
      <c r="B211" t="s">
        <v>1074</v>
      </c>
      <c r="C211">
        <v>5</v>
      </c>
      <c r="D211" t="s">
        <v>34</v>
      </c>
      <c r="E211" t="s">
        <v>373</v>
      </c>
      <c r="F211" t="s">
        <v>36</v>
      </c>
      <c r="G211" t="s">
        <v>208</v>
      </c>
      <c r="H211">
        <v>12</v>
      </c>
      <c r="I211">
        <v>8</v>
      </c>
      <c r="J211" t="s">
        <v>699</v>
      </c>
      <c r="K211">
        <v>97</v>
      </c>
      <c r="L211" t="s">
        <v>109</v>
      </c>
      <c r="M211">
        <v>50</v>
      </c>
      <c r="N211">
        <v>18</v>
      </c>
      <c r="O211">
        <v>14</v>
      </c>
      <c r="P211">
        <v>15</v>
      </c>
      <c r="Q211">
        <v>11</v>
      </c>
      <c r="R211">
        <v>17</v>
      </c>
      <c r="S211">
        <v>16</v>
      </c>
      <c r="T211">
        <v>4</v>
      </c>
      <c r="U211">
        <v>2</v>
      </c>
      <c r="V211">
        <v>2</v>
      </c>
      <c r="W211">
        <v>0</v>
      </c>
      <c r="X211">
        <v>3</v>
      </c>
      <c r="Y211">
        <v>3</v>
      </c>
      <c r="Z211" t="s">
        <v>36</v>
      </c>
      <c r="AA211" t="s">
        <v>36</v>
      </c>
      <c r="AB211" t="s">
        <v>36</v>
      </c>
      <c r="AC211" t="s">
        <v>1075</v>
      </c>
      <c r="AD211" t="s">
        <v>36</v>
      </c>
      <c r="AE211" t="s">
        <v>475</v>
      </c>
      <c r="AF211" t="s">
        <v>1076</v>
      </c>
      <c r="AG211" s="1" t="s">
        <v>1629</v>
      </c>
    </row>
    <row r="212" spans="1:33" ht="15" customHeight="1" x14ac:dyDescent="0.25">
      <c r="A212" t="s">
        <v>1078</v>
      </c>
      <c r="B212" t="s">
        <v>1079</v>
      </c>
      <c r="C212">
        <v>3</v>
      </c>
      <c r="D212" t="s">
        <v>82</v>
      </c>
      <c r="E212" t="s">
        <v>83</v>
      </c>
      <c r="F212" t="s">
        <v>36</v>
      </c>
      <c r="G212" t="s">
        <v>159</v>
      </c>
      <c r="H212">
        <v>15</v>
      </c>
      <c r="I212">
        <v>5</v>
      </c>
      <c r="J212" t="s">
        <v>217</v>
      </c>
      <c r="K212">
        <v>65</v>
      </c>
      <c r="L212" t="s">
        <v>144</v>
      </c>
      <c r="M212">
        <v>30</v>
      </c>
      <c r="N212">
        <v>17</v>
      </c>
      <c r="O212">
        <v>16</v>
      </c>
      <c r="P212">
        <v>15</v>
      </c>
      <c r="Q212">
        <v>10</v>
      </c>
      <c r="R212">
        <v>10</v>
      </c>
      <c r="S212">
        <v>14</v>
      </c>
      <c r="T212">
        <v>3</v>
      </c>
      <c r="U212">
        <v>5</v>
      </c>
      <c r="V212">
        <v>2</v>
      </c>
      <c r="W212">
        <v>0</v>
      </c>
      <c r="X212">
        <v>2</v>
      </c>
      <c r="Y212">
        <v>2</v>
      </c>
      <c r="Z212" t="s">
        <v>1080</v>
      </c>
      <c r="AA212" t="s">
        <v>520</v>
      </c>
      <c r="AB212" t="s">
        <v>36</v>
      </c>
      <c r="AC212" t="s">
        <v>1081</v>
      </c>
      <c r="AD212" t="s">
        <v>1082</v>
      </c>
      <c r="AE212" t="s">
        <v>321</v>
      </c>
      <c r="AF212" t="s">
        <v>100</v>
      </c>
      <c r="AG212" s="1" t="s">
        <v>1630</v>
      </c>
    </row>
    <row r="213" spans="1:33" ht="15" customHeight="1" x14ac:dyDescent="0.25">
      <c r="A213" t="s">
        <v>1084</v>
      </c>
      <c r="B213" t="s">
        <v>1079</v>
      </c>
      <c r="C213">
        <v>5</v>
      </c>
      <c r="D213" t="s">
        <v>82</v>
      </c>
      <c r="E213" t="s">
        <v>518</v>
      </c>
      <c r="F213" t="s">
        <v>36</v>
      </c>
      <c r="G213" t="s">
        <v>159</v>
      </c>
      <c r="H213">
        <v>16</v>
      </c>
      <c r="I213">
        <v>3</v>
      </c>
      <c r="J213" t="s">
        <v>1085</v>
      </c>
      <c r="K213">
        <v>90</v>
      </c>
      <c r="L213" t="s">
        <v>85</v>
      </c>
      <c r="M213">
        <v>30</v>
      </c>
      <c r="N213">
        <v>16</v>
      </c>
      <c r="O213">
        <v>16</v>
      </c>
      <c r="P213">
        <v>16</v>
      </c>
      <c r="Q213">
        <v>11</v>
      </c>
      <c r="R213">
        <v>10</v>
      </c>
      <c r="S213">
        <v>12</v>
      </c>
      <c r="T213">
        <v>3</v>
      </c>
      <c r="U213">
        <v>6</v>
      </c>
      <c r="V213">
        <v>3</v>
      </c>
      <c r="W213">
        <v>0</v>
      </c>
      <c r="X213">
        <v>3</v>
      </c>
      <c r="Y213">
        <v>1</v>
      </c>
      <c r="Z213" t="s">
        <v>1086</v>
      </c>
      <c r="AA213" t="s">
        <v>520</v>
      </c>
      <c r="AB213" t="s">
        <v>36</v>
      </c>
      <c r="AC213" t="s">
        <v>36</v>
      </c>
      <c r="AD213" t="s">
        <v>36</v>
      </c>
      <c r="AE213" t="s">
        <v>475</v>
      </c>
      <c r="AF213" t="s">
        <v>100</v>
      </c>
      <c r="AG213" s="1" t="s">
        <v>1631</v>
      </c>
    </row>
    <row r="214" spans="1:33" ht="15" customHeight="1" x14ac:dyDescent="0.25">
      <c r="A214" t="s">
        <v>1088</v>
      </c>
      <c r="B214" t="s">
        <v>1079</v>
      </c>
      <c r="C214">
        <v>13</v>
      </c>
      <c r="D214" t="s">
        <v>82</v>
      </c>
      <c r="E214" t="s">
        <v>518</v>
      </c>
      <c r="F214" t="s">
        <v>36</v>
      </c>
      <c r="G214" t="s">
        <v>37</v>
      </c>
      <c r="H214">
        <v>16</v>
      </c>
      <c r="I214">
        <v>14</v>
      </c>
      <c r="J214" t="s">
        <v>1089</v>
      </c>
      <c r="K214">
        <v>195</v>
      </c>
      <c r="L214" t="s">
        <v>761</v>
      </c>
      <c r="M214">
        <v>40</v>
      </c>
      <c r="N214">
        <v>18</v>
      </c>
      <c r="O214">
        <v>18</v>
      </c>
      <c r="P214">
        <v>18</v>
      </c>
      <c r="Q214">
        <v>17</v>
      </c>
      <c r="R214">
        <v>15</v>
      </c>
      <c r="S214">
        <v>18</v>
      </c>
      <c r="T214">
        <v>4</v>
      </c>
      <c r="U214">
        <v>9</v>
      </c>
      <c r="V214">
        <v>9</v>
      </c>
      <c r="W214">
        <v>3</v>
      </c>
      <c r="X214">
        <v>7</v>
      </c>
      <c r="Y214">
        <v>9</v>
      </c>
      <c r="Z214" t="s">
        <v>1090</v>
      </c>
      <c r="AA214" t="s">
        <v>520</v>
      </c>
      <c r="AB214" t="s">
        <v>36</v>
      </c>
      <c r="AC214" t="s">
        <v>36</v>
      </c>
      <c r="AD214" t="s">
        <v>36</v>
      </c>
      <c r="AE214" t="s">
        <v>1091</v>
      </c>
      <c r="AF214" t="s">
        <v>805</v>
      </c>
      <c r="AG214" s="1" t="s">
        <v>1632</v>
      </c>
    </row>
    <row r="215" spans="1:33" ht="15" customHeight="1" x14ac:dyDescent="0.25">
      <c r="A215" t="s">
        <v>1093</v>
      </c>
      <c r="B215" t="s">
        <v>1093</v>
      </c>
      <c r="C215">
        <v>6</v>
      </c>
      <c r="D215" t="s">
        <v>34</v>
      </c>
      <c r="E215" t="s">
        <v>120</v>
      </c>
      <c r="F215" t="s">
        <v>121</v>
      </c>
      <c r="G215" t="s">
        <v>122</v>
      </c>
      <c r="H215">
        <v>15</v>
      </c>
      <c r="I215">
        <v>2</v>
      </c>
      <c r="J215" t="s">
        <v>222</v>
      </c>
      <c r="K215">
        <v>152</v>
      </c>
      <c r="L215" t="s">
        <v>659</v>
      </c>
      <c r="M215">
        <v>40</v>
      </c>
      <c r="N215">
        <v>17</v>
      </c>
      <c r="O215">
        <v>15</v>
      </c>
      <c r="P215">
        <v>18</v>
      </c>
      <c r="Q215">
        <v>8</v>
      </c>
      <c r="R215">
        <v>13</v>
      </c>
      <c r="S215">
        <v>8</v>
      </c>
      <c r="T215">
        <v>3</v>
      </c>
      <c r="U215">
        <v>5</v>
      </c>
      <c r="V215">
        <v>4</v>
      </c>
      <c r="W215">
        <v>-1</v>
      </c>
      <c r="X215">
        <v>4</v>
      </c>
      <c r="Y215">
        <v>2</v>
      </c>
      <c r="Z215" t="s">
        <v>36</v>
      </c>
      <c r="AA215" t="s">
        <v>438</v>
      </c>
      <c r="AB215" t="s">
        <v>36</v>
      </c>
      <c r="AC215" t="s">
        <v>320</v>
      </c>
      <c r="AD215" t="s">
        <v>36</v>
      </c>
      <c r="AE215" t="s">
        <v>433</v>
      </c>
      <c r="AF215" t="s">
        <v>129</v>
      </c>
      <c r="AG215" s="1" t="s">
        <v>1633</v>
      </c>
    </row>
    <row r="216" spans="1:33" ht="15" customHeight="1" x14ac:dyDescent="0.25">
      <c r="A216" t="s">
        <v>1095</v>
      </c>
      <c r="B216" t="s">
        <v>1096</v>
      </c>
      <c r="C216">
        <v>0.125</v>
      </c>
      <c r="D216" t="s">
        <v>82</v>
      </c>
      <c r="E216" t="s">
        <v>83</v>
      </c>
      <c r="F216" t="s">
        <v>36</v>
      </c>
      <c r="G216" t="s">
        <v>46</v>
      </c>
      <c r="H216">
        <v>13</v>
      </c>
      <c r="I216">
        <v>0</v>
      </c>
      <c r="J216" t="s">
        <v>390</v>
      </c>
      <c r="K216">
        <v>9</v>
      </c>
      <c r="L216" t="s">
        <v>85</v>
      </c>
      <c r="M216">
        <v>30</v>
      </c>
      <c r="N216">
        <v>13</v>
      </c>
      <c r="O216">
        <v>11</v>
      </c>
      <c r="P216">
        <v>11</v>
      </c>
      <c r="Q216">
        <v>8</v>
      </c>
      <c r="R216">
        <v>11</v>
      </c>
      <c r="S216">
        <v>8</v>
      </c>
      <c r="T216">
        <v>1</v>
      </c>
      <c r="U216">
        <v>0</v>
      </c>
      <c r="V216">
        <v>0</v>
      </c>
      <c r="W216">
        <v>-1</v>
      </c>
      <c r="X216">
        <v>0</v>
      </c>
      <c r="Y216">
        <v>-1</v>
      </c>
      <c r="Z216" t="s">
        <v>36</v>
      </c>
      <c r="AA216" t="s">
        <v>36</v>
      </c>
      <c r="AB216" t="s">
        <v>36</v>
      </c>
      <c r="AC216" t="s">
        <v>36</v>
      </c>
      <c r="AD216" t="s">
        <v>1097</v>
      </c>
      <c r="AE216" t="s">
        <v>99</v>
      </c>
      <c r="AF216" t="s">
        <v>170</v>
      </c>
      <c r="AG216" s="1" t="s">
        <v>1634</v>
      </c>
    </row>
    <row r="217" spans="1:33" ht="15" customHeight="1" x14ac:dyDescent="0.25">
      <c r="A217" t="s">
        <v>1099</v>
      </c>
      <c r="B217" t="s">
        <v>1096</v>
      </c>
      <c r="C217">
        <v>3</v>
      </c>
      <c r="D217" t="s">
        <v>82</v>
      </c>
      <c r="E217" t="s">
        <v>83</v>
      </c>
      <c r="F217" t="s">
        <v>36</v>
      </c>
      <c r="G217" t="s">
        <v>46</v>
      </c>
      <c r="H217">
        <v>17</v>
      </c>
      <c r="I217">
        <v>3</v>
      </c>
      <c r="J217" t="s">
        <v>217</v>
      </c>
      <c r="K217">
        <v>65</v>
      </c>
      <c r="L217" t="s">
        <v>85</v>
      </c>
      <c r="M217">
        <v>30</v>
      </c>
      <c r="N217">
        <v>16</v>
      </c>
      <c r="O217">
        <v>13</v>
      </c>
      <c r="P217">
        <v>14</v>
      </c>
      <c r="Q217">
        <v>10</v>
      </c>
      <c r="R217">
        <v>11</v>
      </c>
      <c r="S217">
        <v>10</v>
      </c>
      <c r="T217">
        <v>3</v>
      </c>
      <c r="U217">
        <v>1</v>
      </c>
      <c r="V217">
        <v>2</v>
      </c>
      <c r="W217">
        <v>0</v>
      </c>
      <c r="X217">
        <v>0</v>
      </c>
      <c r="Y217">
        <v>0</v>
      </c>
      <c r="Z217" t="s">
        <v>1100</v>
      </c>
      <c r="AA217" t="s">
        <v>36</v>
      </c>
      <c r="AB217" t="s">
        <v>36</v>
      </c>
      <c r="AC217" t="s">
        <v>36</v>
      </c>
      <c r="AD217" t="s">
        <v>1101</v>
      </c>
      <c r="AE217" t="s">
        <v>398</v>
      </c>
      <c r="AF217" t="s">
        <v>100</v>
      </c>
      <c r="AG217" s="1" t="s">
        <v>1102</v>
      </c>
    </row>
    <row r="218" spans="1:33" ht="15" customHeight="1" x14ac:dyDescent="0.25">
      <c r="A218" t="s">
        <v>1103</v>
      </c>
      <c r="B218" t="s">
        <v>1103</v>
      </c>
      <c r="C218">
        <v>5</v>
      </c>
      <c r="D218" t="s">
        <v>34</v>
      </c>
      <c r="E218" t="s">
        <v>45</v>
      </c>
      <c r="F218" t="s">
        <v>36</v>
      </c>
      <c r="G218" t="s">
        <v>46</v>
      </c>
      <c r="H218">
        <v>14</v>
      </c>
      <c r="I218">
        <v>2</v>
      </c>
      <c r="J218" t="s">
        <v>310</v>
      </c>
      <c r="K218">
        <v>114</v>
      </c>
      <c r="L218" t="s">
        <v>1104</v>
      </c>
      <c r="M218">
        <v>30</v>
      </c>
      <c r="N218">
        <v>18</v>
      </c>
      <c r="O218">
        <v>14</v>
      </c>
      <c r="P218">
        <v>18</v>
      </c>
      <c r="Q218">
        <v>5</v>
      </c>
      <c r="R218">
        <v>10</v>
      </c>
      <c r="S218">
        <v>8</v>
      </c>
      <c r="T218">
        <v>4</v>
      </c>
      <c r="U218">
        <v>2</v>
      </c>
      <c r="V218">
        <v>4</v>
      </c>
      <c r="W218">
        <v>-3</v>
      </c>
      <c r="X218">
        <v>0</v>
      </c>
      <c r="Y218">
        <v>-1</v>
      </c>
      <c r="Z218" t="s">
        <v>36</v>
      </c>
      <c r="AA218" t="s">
        <v>1105</v>
      </c>
      <c r="AB218" t="s">
        <v>36</v>
      </c>
      <c r="AC218" t="s">
        <v>702</v>
      </c>
      <c r="AD218" t="s">
        <v>36</v>
      </c>
      <c r="AE218" t="s">
        <v>51</v>
      </c>
      <c r="AF218" t="s">
        <v>1106</v>
      </c>
      <c r="AG218" s="1" t="s">
        <v>1635</v>
      </c>
    </row>
    <row r="219" spans="1:33" ht="15" customHeight="1" x14ac:dyDescent="0.25">
      <c r="A219" t="s">
        <v>1108</v>
      </c>
      <c r="B219" t="s">
        <v>1108</v>
      </c>
      <c r="C219">
        <v>5</v>
      </c>
      <c r="D219" t="s">
        <v>82</v>
      </c>
      <c r="E219" t="s">
        <v>76</v>
      </c>
      <c r="F219" t="s">
        <v>1109</v>
      </c>
      <c r="G219" t="s">
        <v>298</v>
      </c>
      <c r="H219">
        <v>15</v>
      </c>
      <c r="I219">
        <v>3</v>
      </c>
      <c r="J219" t="s">
        <v>1110</v>
      </c>
      <c r="K219">
        <v>135</v>
      </c>
      <c r="L219" t="s">
        <v>1111</v>
      </c>
      <c r="M219">
        <v>30</v>
      </c>
      <c r="N219">
        <v>19</v>
      </c>
      <c r="O219">
        <v>10</v>
      </c>
      <c r="P219">
        <v>17</v>
      </c>
      <c r="Q219">
        <v>11</v>
      </c>
      <c r="R219">
        <v>12</v>
      </c>
      <c r="S219">
        <v>12</v>
      </c>
      <c r="T219">
        <v>4</v>
      </c>
      <c r="U219">
        <v>0</v>
      </c>
      <c r="V219">
        <v>3</v>
      </c>
      <c r="W219">
        <v>0</v>
      </c>
      <c r="X219">
        <v>1</v>
      </c>
      <c r="Y219">
        <v>1</v>
      </c>
      <c r="Z219" t="s">
        <v>579</v>
      </c>
      <c r="AA219" t="s">
        <v>36</v>
      </c>
      <c r="AB219" t="s">
        <v>36</v>
      </c>
      <c r="AC219" t="s">
        <v>36</v>
      </c>
      <c r="AD219" t="s">
        <v>1112</v>
      </c>
      <c r="AE219" t="s">
        <v>581</v>
      </c>
      <c r="AF219" t="s">
        <v>1636</v>
      </c>
      <c r="AG219" s="1" t="s">
        <v>1637</v>
      </c>
    </row>
    <row r="220" spans="1:33" ht="15" customHeight="1" x14ac:dyDescent="0.25">
      <c r="A220" t="s">
        <v>1115</v>
      </c>
      <c r="B220" t="s">
        <v>1115</v>
      </c>
      <c r="C220">
        <v>4</v>
      </c>
      <c r="D220" t="s">
        <v>82</v>
      </c>
      <c r="E220" t="s">
        <v>76</v>
      </c>
      <c r="F220" t="s">
        <v>1109</v>
      </c>
      <c r="G220" t="s">
        <v>159</v>
      </c>
      <c r="H220">
        <v>15</v>
      </c>
      <c r="I220">
        <v>2</v>
      </c>
      <c r="J220" t="s">
        <v>84</v>
      </c>
      <c r="K220">
        <v>97</v>
      </c>
      <c r="L220" t="s">
        <v>1116</v>
      </c>
      <c r="M220">
        <v>30</v>
      </c>
      <c r="N220">
        <v>17</v>
      </c>
      <c r="O220">
        <v>10</v>
      </c>
      <c r="P220">
        <v>15</v>
      </c>
      <c r="Q220">
        <v>10</v>
      </c>
      <c r="R220">
        <v>11</v>
      </c>
      <c r="S220">
        <v>8</v>
      </c>
      <c r="T220">
        <v>3</v>
      </c>
      <c r="U220">
        <v>0</v>
      </c>
      <c r="V220">
        <v>2</v>
      </c>
      <c r="W220">
        <v>0</v>
      </c>
      <c r="X220">
        <v>0</v>
      </c>
      <c r="Y220">
        <v>-1</v>
      </c>
      <c r="Z220" t="s">
        <v>631</v>
      </c>
      <c r="AA220" t="s">
        <v>36</v>
      </c>
      <c r="AB220" t="s">
        <v>36</v>
      </c>
      <c r="AC220" t="s">
        <v>36</v>
      </c>
      <c r="AD220" t="s">
        <v>1117</v>
      </c>
      <c r="AE220" t="s">
        <v>398</v>
      </c>
      <c r="AF220" t="s">
        <v>1638</v>
      </c>
      <c r="AG220" s="1" t="s">
        <v>1639</v>
      </c>
    </row>
    <row r="221" spans="1:33" ht="15" customHeight="1" x14ac:dyDescent="0.25">
      <c r="A221" t="s">
        <v>1120</v>
      </c>
      <c r="B221" t="s">
        <v>1120</v>
      </c>
      <c r="C221">
        <v>2</v>
      </c>
      <c r="D221" t="s">
        <v>82</v>
      </c>
      <c r="E221" t="s">
        <v>76</v>
      </c>
      <c r="F221" t="s">
        <v>1109</v>
      </c>
      <c r="G221" t="s">
        <v>37</v>
      </c>
      <c r="H221">
        <v>13</v>
      </c>
      <c r="I221">
        <v>3</v>
      </c>
      <c r="J221" t="s">
        <v>1121</v>
      </c>
      <c r="K221">
        <v>60</v>
      </c>
      <c r="L221" t="s">
        <v>144</v>
      </c>
      <c r="M221">
        <v>30</v>
      </c>
      <c r="N221">
        <v>10</v>
      </c>
      <c r="O221">
        <v>16</v>
      </c>
      <c r="P221">
        <v>12</v>
      </c>
      <c r="Q221">
        <v>11</v>
      </c>
      <c r="R221">
        <v>10</v>
      </c>
      <c r="S221">
        <v>8</v>
      </c>
      <c r="T221">
        <v>0</v>
      </c>
      <c r="U221">
        <v>3</v>
      </c>
      <c r="V221">
        <v>1</v>
      </c>
      <c r="W221">
        <v>0</v>
      </c>
      <c r="X221">
        <v>0</v>
      </c>
      <c r="Y221">
        <v>-1</v>
      </c>
      <c r="Z221" t="s">
        <v>454</v>
      </c>
      <c r="AA221" t="s">
        <v>36</v>
      </c>
      <c r="AB221" t="s">
        <v>36</v>
      </c>
      <c r="AC221" t="s">
        <v>36</v>
      </c>
      <c r="AD221" t="s">
        <v>1122</v>
      </c>
      <c r="AE221" t="s">
        <v>321</v>
      </c>
      <c r="AF221" t="s">
        <v>1640</v>
      </c>
      <c r="AG221" s="1" t="s">
        <v>1641</v>
      </c>
    </row>
    <row r="222" spans="1:33" ht="15" customHeight="1" x14ac:dyDescent="0.25">
      <c r="A222" t="s">
        <v>1125</v>
      </c>
      <c r="B222" t="s">
        <v>1125</v>
      </c>
      <c r="C222">
        <v>4</v>
      </c>
      <c r="D222" t="s">
        <v>82</v>
      </c>
      <c r="E222" t="s">
        <v>76</v>
      </c>
      <c r="F222" t="s">
        <v>1109</v>
      </c>
      <c r="G222" t="s">
        <v>46</v>
      </c>
      <c r="H222">
        <v>12</v>
      </c>
      <c r="I222">
        <v>2</v>
      </c>
      <c r="J222" t="s">
        <v>1126</v>
      </c>
      <c r="K222">
        <v>120</v>
      </c>
      <c r="L222" t="s">
        <v>1127</v>
      </c>
      <c r="M222">
        <v>30</v>
      </c>
      <c r="N222">
        <v>17</v>
      </c>
      <c r="O222">
        <v>15</v>
      </c>
      <c r="P222">
        <v>16</v>
      </c>
      <c r="Q222">
        <v>10</v>
      </c>
      <c r="R222">
        <v>13</v>
      </c>
      <c r="S222">
        <v>11</v>
      </c>
      <c r="T222">
        <v>3</v>
      </c>
      <c r="U222">
        <v>2</v>
      </c>
      <c r="V222">
        <v>3</v>
      </c>
      <c r="W222">
        <v>0</v>
      </c>
      <c r="X222">
        <v>1</v>
      </c>
      <c r="Y222">
        <v>0</v>
      </c>
      <c r="Z222" t="s">
        <v>406</v>
      </c>
      <c r="AA222" t="s">
        <v>36</v>
      </c>
      <c r="AB222" t="s">
        <v>36</v>
      </c>
      <c r="AC222" t="s">
        <v>36</v>
      </c>
      <c r="AD222" t="s">
        <v>1128</v>
      </c>
      <c r="AE222" t="s">
        <v>212</v>
      </c>
      <c r="AF222" t="s">
        <v>1642</v>
      </c>
      <c r="AG222" s="1" t="s">
        <v>1643</v>
      </c>
    </row>
    <row r="223" spans="1:33" ht="15" customHeight="1" x14ac:dyDescent="0.25">
      <c r="A223" t="s">
        <v>1131</v>
      </c>
      <c r="B223" t="s">
        <v>1131</v>
      </c>
      <c r="C223">
        <v>3</v>
      </c>
      <c r="D223" t="s">
        <v>82</v>
      </c>
      <c r="E223" t="s">
        <v>76</v>
      </c>
      <c r="F223" t="s">
        <v>1109</v>
      </c>
      <c r="G223" t="s">
        <v>122</v>
      </c>
      <c r="H223">
        <v>15</v>
      </c>
      <c r="I223">
        <v>4</v>
      </c>
      <c r="J223" t="s">
        <v>1132</v>
      </c>
      <c r="K223">
        <v>71</v>
      </c>
      <c r="L223" t="s">
        <v>1133</v>
      </c>
      <c r="M223">
        <v>30</v>
      </c>
      <c r="N223">
        <v>16</v>
      </c>
      <c r="O223">
        <v>14</v>
      </c>
      <c r="P223">
        <v>14</v>
      </c>
      <c r="Q223">
        <v>10</v>
      </c>
      <c r="R223">
        <v>11</v>
      </c>
      <c r="S223">
        <v>10</v>
      </c>
      <c r="T223">
        <v>3</v>
      </c>
      <c r="U223">
        <v>2</v>
      </c>
      <c r="V223">
        <v>2</v>
      </c>
      <c r="W223">
        <v>0</v>
      </c>
      <c r="X223">
        <v>0</v>
      </c>
      <c r="Y223">
        <v>0</v>
      </c>
      <c r="Z223" t="s">
        <v>177</v>
      </c>
      <c r="AA223" t="s">
        <v>36</v>
      </c>
      <c r="AB223" t="s">
        <v>36</v>
      </c>
      <c r="AC223" t="s">
        <v>36</v>
      </c>
      <c r="AD223" t="s">
        <v>1128</v>
      </c>
      <c r="AE223" t="s">
        <v>321</v>
      </c>
      <c r="AF223" t="s">
        <v>1644</v>
      </c>
      <c r="AG223" s="1" t="s">
        <v>1645</v>
      </c>
    </row>
    <row r="224" spans="1:33" ht="15" customHeight="1" x14ac:dyDescent="0.25">
      <c r="A224" t="s">
        <v>1136</v>
      </c>
      <c r="B224" t="s">
        <v>1137</v>
      </c>
      <c r="C224">
        <v>2</v>
      </c>
      <c r="D224" t="s">
        <v>56</v>
      </c>
      <c r="E224" t="s">
        <v>174</v>
      </c>
      <c r="F224" t="s">
        <v>175</v>
      </c>
      <c r="G224" t="s">
        <v>122</v>
      </c>
      <c r="H224">
        <v>16</v>
      </c>
      <c r="I224">
        <v>2</v>
      </c>
      <c r="J224" t="s">
        <v>1060</v>
      </c>
      <c r="K224">
        <v>32</v>
      </c>
      <c r="L224" t="s">
        <v>1138</v>
      </c>
      <c r="M224">
        <v>30</v>
      </c>
      <c r="N224">
        <v>14</v>
      </c>
      <c r="O224">
        <v>10</v>
      </c>
      <c r="P224">
        <v>14</v>
      </c>
      <c r="Q224">
        <v>5</v>
      </c>
      <c r="R224">
        <v>10</v>
      </c>
      <c r="S224">
        <v>11</v>
      </c>
      <c r="T224">
        <v>2</v>
      </c>
      <c r="U224">
        <v>2</v>
      </c>
      <c r="V224">
        <v>2</v>
      </c>
      <c r="W224">
        <v>-3</v>
      </c>
      <c r="X224">
        <v>2</v>
      </c>
      <c r="Y224">
        <v>0</v>
      </c>
      <c r="Z224" t="s">
        <v>219</v>
      </c>
      <c r="AA224" t="s">
        <v>36</v>
      </c>
      <c r="AB224" t="s">
        <v>36</v>
      </c>
      <c r="AC224" t="s">
        <v>146</v>
      </c>
      <c r="AD224" t="s">
        <v>36</v>
      </c>
      <c r="AE224" t="s">
        <v>179</v>
      </c>
      <c r="AF224" t="s">
        <v>165</v>
      </c>
      <c r="AG224" s="1" t="s">
        <v>1646</v>
      </c>
    </row>
    <row r="225" spans="1:33" ht="15" customHeight="1" x14ac:dyDescent="0.25">
      <c r="A225" t="s">
        <v>1140</v>
      </c>
      <c r="B225" t="s">
        <v>1137</v>
      </c>
      <c r="C225">
        <v>6</v>
      </c>
      <c r="D225" t="s">
        <v>34</v>
      </c>
      <c r="E225" t="s">
        <v>174</v>
      </c>
      <c r="F225" t="s">
        <v>175</v>
      </c>
      <c r="G225" t="s">
        <v>122</v>
      </c>
      <c r="H225">
        <v>17</v>
      </c>
      <c r="I225">
        <v>3</v>
      </c>
      <c r="J225" t="s">
        <v>325</v>
      </c>
      <c r="K225">
        <v>123</v>
      </c>
      <c r="L225" t="s">
        <v>1141</v>
      </c>
      <c r="M225">
        <v>40</v>
      </c>
      <c r="N225">
        <v>18</v>
      </c>
      <c r="O225">
        <v>10</v>
      </c>
      <c r="P225">
        <v>18</v>
      </c>
      <c r="Q225">
        <v>6</v>
      </c>
      <c r="R225">
        <v>11</v>
      </c>
      <c r="S225">
        <v>12</v>
      </c>
      <c r="T225">
        <v>4</v>
      </c>
      <c r="U225">
        <v>3</v>
      </c>
      <c r="V225">
        <v>4</v>
      </c>
      <c r="W225">
        <v>2</v>
      </c>
      <c r="X225">
        <v>3</v>
      </c>
      <c r="Y225">
        <v>1</v>
      </c>
      <c r="Z225" t="s">
        <v>1142</v>
      </c>
      <c r="AA225" t="s">
        <v>36</v>
      </c>
      <c r="AB225" t="s">
        <v>36</v>
      </c>
      <c r="AC225" t="s">
        <v>146</v>
      </c>
      <c r="AD225" t="s">
        <v>36</v>
      </c>
      <c r="AE225" t="s">
        <v>185</v>
      </c>
      <c r="AF225" t="s">
        <v>186</v>
      </c>
      <c r="AG225" s="1" t="s">
        <v>1647</v>
      </c>
    </row>
    <row r="226" spans="1:33" ht="15" customHeight="1" x14ac:dyDescent="0.25">
      <c r="A226" t="s">
        <v>1144</v>
      </c>
      <c r="B226" t="s">
        <v>1137</v>
      </c>
      <c r="C226">
        <v>13</v>
      </c>
      <c r="D226" t="s">
        <v>103</v>
      </c>
      <c r="E226" t="s">
        <v>174</v>
      </c>
      <c r="F226" t="s">
        <v>175</v>
      </c>
      <c r="G226" t="s">
        <v>122</v>
      </c>
      <c r="H226">
        <v>18</v>
      </c>
      <c r="I226">
        <v>10</v>
      </c>
      <c r="J226" t="s">
        <v>340</v>
      </c>
      <c r="K226">
        <v>200</v>
      </c>
      <c r="L226" t="s">
        <v>1145</v>
      </c>
      <c r="M226">
        <v>40</v>
      </c>
      <c r="N226">
        <v>22</v>
      </c>
      <c r="O226">
        <v>10</v>
      </c>
      <c r="P226">
        <v>22</v>
      </c>
      <c r="Q226">
        <v>8</v>
      </c>
      <c r="R226">
        <v>12</v>
      </c>
      <c r="S226">
        <v>12</v>
      </c>
      <c r="T226">
        <v>6</v>
      </c>
      <c r="U226">
        <v>5</v>
      </c>
      <c r="V226">
        <v>6</v>
      </c>
      <c r="W226">
        <v>-1</v>
      </c>
      <c r="X226">
        <v>6</v>
      </c>
      <c r="Y226">
        <v>1</v>
      </c>
      <c r="Z226" t="s">
        <v>1146</v>
      </c>
      <c r="AA226" t="s">
        <v>36</v>
      </c>
      <c r="AB226" t="s">
        <v>36</v>
      </c>
      <c r="AC226" t="s">
        <v>146</v>
      </c>
      <c r="AD226" t="s">
        <v>36</v>
      </c>
      <c r="AE226" t="s">
        <v>191</v>
      </c>
      <c r="AF226" t="s">
        <v>186</v>
      </c>
      <c r="AG226" s="1" t="s">
        <v>1648</v>
      </c>
    </row>
    <row r="227" spans="1:33" ht="15" customHeight="1" x14ac:dyDescent="0.25">
      <c r="A227" t="s">
        <v>1148</v>
      </c>
      <c r="B227" t="s">
        <v>1137</v>
      </c>
      <c r="C227">
        <v>20</v>
      </c>
      <c r="D227" t="s">
        <v>194</v>
      </c>
      <c r="E227" t="s">
        <v>174</v>
      </c>
      <c r="F227" t="s">
        <v>175</v>
      </c>
      <c r="G227" t="s">
        <v>122</v>
      </c>
      <c r="H227">
        <v>20</v>
      </c>
      <c r="I227">
        <v>12</v>
      </c>
      <c r="J227" t="s">
        <v>1149</v>
      </c>
      <c r="K227">
        <v>333</v>
      </c>
      <c r="L227" t="s">
        <v>1150</v>
      </c>
      <c r="M227">
        <v>40</v>
      </c>
      <c r="N227">
        <v>26</v>
      </c>
      <c r="O227">
        <v>10</v>
      </c>
      <c r="P227">
        <v>26</v>
      </c>
      <c r="Q227">
        <v>10</v>
      </c>
      <c r="R227">
        <v>13</v>
      </c>
      <c r="S227">
        <v>18</v>
      </c>
      <c r="T227">
        <v>8</v>
      </c>
      <c r="U227">
        <v>6</v>
      </c>
      <c r="V227">
        <v>8</v>
      </c>
      <c r="W227">
        <v>0</v>
      </c>
      <c r="X227">
        <v>7</v>
      </c>
      <c r="Y227">
        <v>4</v>
      </c>
      <c r="Z227" t="s">
        <v>913</v>
      </c>
      <c r="AA227" t="s">
        <v>36</v>
      </c>
      <c r="AB227" t="s">
        <v>36</v>
      </c>
      <c r="AC227" t="s">
        <v>146</v>
      </c>
      <c r="AD227" t="s">
        <v>36</v>
      </c>
      <c r="AE227" t="s">
        <v>914</v>
      </c>
      <c r="AF227" t="s">
        <v>186</v>
      </c>
      <c r="AG227" s="1" t="s">
        <v>1649</v>
      </c>
    </row>
    <row r="228" spans="1:33" ht="15" customHeight="1" x14ac:dyDescent="0.25">
      <c r="A228" t="s">
        <v>1152</v>
      </c>
      <c r="B228" t="s">
        <v>1152</v>
      </c>
      <c r="C228">
        <v>3</v>
      </c>
      <c r="D228" t="s">
        <v>56</v>
      </c>
      <c r="E228" t="s">
        <v>518</v>
      </c>
      <c r="F228" t="s">
        <v>36</v>
      </c>
      <c r="G228" t="s">
        <v>159</v>
      </c>
      <c r="H228">
        <v>14</v>
      </c>
      <c r="I228">
        <v>4</v>
      </c>
      <c r="J228" t="s">
        <v>606</v>
      </c>
      <c r="K228">
        <v>82</v>
      </c>
      <c r="L228" t="s">
        <v>85</v>
      </c>
      <c r="M228">
        <v>30</v>
      </c>
      <c r="N228">
        <v>15</v>
      </c>
      <c r="O228">
        <v>14</v>
      </c>
      <c r="P228">
        <v>16</v>
      </c>
      <c r="Q228">
        <v>10</v>
      </c>
      <c r="R228">
        <v>13</v>
      </c>
      <c r="S228">
        <v>15</v>
      </c>
      <c r="T228">
        <v>2</v>
      </c>
      <c r="U228">
        <v>2</v>
      </c>
      <c r="V228">
        <v>3</v>
      </c>
      <c r="W228">
        <v>0</v>
      </c>
      <c r="X228">
        <v>1</v>
      </c>
      <c r="Y228">
        <v>2</v>
      </c>
      <c r="Z228" t="s">
        <v>1153</v>
      </c>
      <c r="AA228" t="s">
        <v>520</v>
      </c>
      <c r="AB228" t="s">
        <v>36</v>
      </c>
      <c r="AC228" t="s">
        <v>774</v>
      </c>
      <c r="AD228" t="s">
        <v>448</v>
      </c>
      <c r="AE228" t="s">
        <v>475</v>
      </c>
      <c r="AF228" t="s">
        <v>100</v>
      </c>
      <c r="AG228" s="1" t="s">
        <v>1650</v>
      </c>
    </row>
    <row r="229" spans="1:33" ht="15" customHeight="1" x14ac:dyDescent="0.25">
      <c r="A229" t="s">
        <v>1651</v>
      </c>
      <c r="B229" t="s">
        <v>1651</v>
      </c>
      <c r="C229">
        <v>2</v>
      </c>
      <c r="D229" t="s">
        <v>669</v>
      </c>
      <c r="E229" t="s">
        <v>518</v>
      </c>
      <c r="F229" t="s">
        <v>36</v>
      </c>
      <c r="G229" t="s">
        <v>122</v>
      </c>
      <c r="H229">
        <v>19</v>
      </c>
      <c r="I229">
        <v>9</v>
      </c>
      <c r="J229" t="s">
        <v>1156</v>
      </c>
      <c r="K229">
        <v>27</v>
      </c>
      <c r="L229" t="s">
        <v>68</v>
      </c>
      <c r="M229">
        <v>5</v>
      </c>
      <c r="N229">
        <v>1</v>
      </c>
      <c r="O229">
        <v>28</v>
      </c>
      <c r="P229">
        <v>10</v>
      </c>
      <c r="Q229">
        <v>13</v>
      </c>
      <c r="R229">
        <v>14</v>
      </c>
      <c r="S229">
        <v>11</v>
      </c>
      <c r="T229">
        <v>-5</v>
      </c>
      <c r="U229">
        <v>9</v>
      </c>
      <c r="V229">
        <v>0</v>
      </c>
      <c r="W229">
        <v>1</v>
      </c>
      <c r="X229">
        <v>2</v>
      </c>
      <c r="Y229">
        <v>0</v>
      </c>
      <c r="Z229" t="s">
        <v>36</v>
      </c>
      <c r="AA229" t="s">
        <v>1157</v>
      </c>
      <c r="AB229" t="s">
        <v>36</v>
      </c>
      <c r="AC229" t="s">
        <v>1158</v>
      </c>
      <c r="AD229" t="s">
        <v>36</v>
      </c>
      <c r="AE229" t="s">
        <v>335</v>
      </c>
      <c r="AF229" t="s">
        <v>100</v>
      </c>
      <c r="AG229" s="1" t="s">
        <v>1652</v>
      </c>
    </row>
    <row r="230" spans="1:33" ht="15" customHeight="1" x14ac:dyDescent="0.25">
      <c r="A230" t="s">
        <v>1160</v>
      </c>
      <c r="B230" t="s">
        <v>1160</v>
      </c>
      <c r="C230">
        <v>3</v>
      </c>
      <c r="D230" t="s">
        <v>34</v>
      </c>
      <c r="E230" t="s">
        <v>76</v>
      </c>
      <c r="F230" t="s">
        <v>36</v>
      </c>
      <c r="G230" t="s">
        <v>159</v>
      </c>
      <c r="H230">
        <v>13</v>
      </c>
      <c r="I230">
        <v>1</v>
      </c>
      <c r="J230" t="s">
        <v>1161</v>
      </c>
      <c r="K230">
        <v>75</v>
      </c>
      <c r="L230" t="s">
        <v>109</v>
      </c>
      <c r="M230">
        <v>50</v>
      </c>
      <c r="N230">
        <v>18</v>
      </c>
      <c r="O230">
        <v>13</v>
      </c>
      <c r="P230">
        <v>14</v>
      </c>
      <c r="Q230">
        <v>7</v>
      </c>
      <c r="R230">
        <v>12</v>
      </c>
      <c r="S230">
        <v>8</v>
      </c>
      <c r="T230">
        <v>4</v>
      </c>
      <c r="U230">
        <v>1</v>
      </c>
      <c r="V230">
        <v>2</v>
      </c>
      <c r="W230">
        <v>-2</v>
      </c>
      <c r="X230">
        <v>1</v>
      </c>
      <c r="Y230">
        <v>-1</v>
      </c>
      <c r="Z230" t="s">
        <v>211</v>
      </c>
      <c r="AA230" t="s">
        <v>36</v>
      </c>
      <c r="AB230" t="s">
        <v>36</v>
      </c>
      <c r="AC230" t="s">
        <v>146</v>
      </c>
      <c r="AD230" t="s">
        <v>36</v>
      </c>
      <c r="AE230" t="s">
        <v>449</v>
      </c>
      <c r="AF230" t="s">
        <v>344</v>
      </c>
      <c r="AG230" s="1" t="s">
        <v>1653</v>
      </c>
    </row>
    <row r="231" spans="1:33" ht="15" customHeight="1" x14ac:dyDescent="0.25">
      <c r="A231" t="s">
        <v>1163</v>
      </c>
      <c r="B231" t="s">
        <v>1163</v>
      </c>
      <c r="C231">
        <v>0.5</v>
      </c>
      <c r="D231" t="s">
        <v>34</v>
      </c>
      <c r="E231" t="s">
        <v>207</v>
      </c>
      <c r="F231" t="s">
        <v>36</v>
      </c>
      <c r="G231" t="s">
        <v>159</v>
      </c>
      <c r="H231">
        <v>13</v>
      </c>
      <c r="I231">
        <v>1</v>
      </c>
      <c r="J231" t="s">
        <v>658</v>
      </c>
      <c r="K231">
        <v>26</v>
      </c>
      <c r="L231" t="s">
        <v>109</v>
      </c>
      <c r="M231">
        <v>50</v>
      </c>
      <c r="N231">
        <v>16</v>
      </c>
      <c r="O231">
        <v>13</v>
      </c>
      <c r="P231">
        <v>13</v>
      </c>
      <c r="Q231">
        <v>7</v>
      </c>
      <c r="R231">
        <v>11</v>
      </c>
      <c r="S231">
        <v>8</v>
      </c>
      <c r="T231">
        <v>3</v>
      </c>
      <c r="U231">
        <v>1</v>
      </c>
      <c r="V231">
        <v>1</v>
      </c>
      <c r="W231">
        <v>-2</v>
      </c>
      <c r="X231">
        <v>0</v>
      </c>
      <c r="Y231">
        <v>-1</v>
      </c>
      <c r="Z231" t="s">
        <v>319</v>
      </c>
      <c r="AA231" t="s">
        <v>36</v>
      </c>
      <c r="AB231" t="s">
        <v>36</v>
      </c>
      <c r="AC231" t="s">
        <v>36</v>
      </c>
      <c r="AD231" t="s">
        <v>36</v>
      </c>
      <c r="AE231" t="s">
        <v>321</v>
      </c>
      <c r="AF231" t="s">
        <v>1164</v>
      </c>
      <c r="AG231" s="1" t="s">
        <v>1654</v>
      </c>
    </row>
    <row r="232" spans="1:33" ht="15" customHeight="1" x14ac:dyDescent="0.25">
      <c r="A232" t="s">
        <v>1166</v>
      </c>
      <c r="B232" t="s">
        <v>1166</v>
      </c>
      <c r="C232">
        <v>5</v>
      </c>
      <c r="D232" t="s">
        <v>82</v>
      </c>
      <c r="E232" t="s">
        <v>518</v>
      </c>
      <c r="F232" t="s">
        <v>36</v>
      </c>
      <c r="G232" t="s">
        <v>159</v>
      </c>
      <c r="H232">
        <v>13</v>
      </c>
      <c r="I232">
        <v>3</v>
      </c>
      <c r="J232" t="s">
        <v>168</v>
      </c>
      <c r="K232">
        <v>67</v>
      </c>
      <c r="L232" t="s">
        <v>1167</v>
      </c>
      <c r="M232">
        <v>5</v>
      </c>
      <c r="N232">
        <v>6</v>
      </c>
      <c r="O232">
        <v>16</v>
      </c>
      <c r="P232">
        <v>16</v>
      </c>
      <c r="Q232">
        <v>12</v>
      </c>
      <c r="R232">
        <v>14</v>
      </c>
      <c r="S232">
        <v>15</v>
      </c>
      <c r="T232">
        <v>-2</v>
      </c>
      <c r="U232">
        <v>3</v>
      </c>
      <c r="V232">
        <v>3</v>
      </c>
      <c r="W232">
        <v>1</v>
      </c>
      <c r="X232">
        <v>2</v>
      </c>
      <c r="Y232">
        <v>2</v>
      </c>
      <c r="Z232" t="s">
        <v>36</v>
      </c>
      <c r="AA232" t="s">
        <v>1168</v>
      </c>
      <c r="AB232" t="s">
        <v>36</v>
      </c>
      <c r="AC232" t="s">
        <v>1004</v>
      </c>
      <c r="AD232" t="s">
        <v>36</v>
      </c>
      <c r="AE232" t="s">
        <v>612</v>
      </c>
      <c r="AF232" t="s">
        <v>805</v>
      </c>
      <c r="AG232" s="1" t="s">
        <v>1655</v>
      </c>
    </row>
    <row r="233" spans="1:33" ht="15" customHeight="1" x14ac:dyDescent="0.25">
      <c r="A233" t="s">
        <v>1170</v>
      </c>
      <c r="B233" t="s">
        <v>1170</v>
      </c>
      <c r="C233">
        <v>6</v>
      </c>
      <c r="D233" t="s">
        <v>34</v>
      </c>
      <c r="E233" t="s">
        <v>174</v>
      </c>
      <c r="F233" t="s">
        <v>36</v>
      </c>
      <c r="G233" t="s">
        <v>58</v>
      </c>
      <c r="H233">
        <v>14</v>
      </c>
      <c r="I233">
        <v>0</v>
      </c>
      <c r="J233" t="s">
        <v>182</v>
      </c>
      <c r="K233">
        <v>127</v>
      </c>
      <c r="L233" t="s">
        <v>616</v>
      </c>
      <c r="M233">
        <v>30</v>
      </c>
      <c r="N233">
        <v>19</v>
      </c>
      <c r="O233">
        <v>10</v>
      </c>
      <c r="P233">
        <v>16</v>
      </c>
      <c r="Q233">
        <v>5</v>
      </c>
      <c r="R233">
        <v>12</v>
      </c>
      <c r="S233">
        <v>6</v>
      </c>
      <c r="T233">
        <v>4</v>
      </c>
      <c r="U233">
        <v>0</v>
      </c>
      <c r="V233">
        <v>3</v>
      </c>
      <c r="W233">
        <v>-3</v>
      </c>
      <c r="X233">
        <v>1</v>
      </c>
      <c r="Y233">
        <v>-2</v>
      </c>
      <c r="Z233" t="s">
        <v>319</v>
      </c>
      <c r="AA233" t="s">
        <v>36</v>
      </c>
      <c r="AB233" t="s">
        <v>36</v>
      </c>
      <c r="AC233" t="s">
        <v>36</v>
      </c>
      <c r="AD233" t="s">
        <v>36</v>
      </c>
      <c r="AE233" t="s">
        <v>1171</v>
      </c>
      <c r="AF233" t="s">
        <v>63</v>
      </c>
      <c r="AG233" s="1" t="s">
        <v>1656</v>
      </c>
    </row>
    <row r="234" spans="1:33" ht="15" customHeight="1" x14ac:dyDescent="0.25">
      <c r="A234" t="s">
        <v>1173</v>
      </c>
      <c r="B234" t="s">
        <v>1173</v>
      </c>
      <c r="C234">
        <v>5</v>
      </c>
      <c r="D234" t="s">
        <v>56</v>
      </c>
      <c r="E234" t="s">
        <v>45</v>
      </c>
      <c r="F234" t="s">
        <v>36</v>
      </c>
      <c r="G234" t="s">
        <v>46</v>
      </c>
      <c r="H234">
        <v>19</v>
      </c>
      <c r="I234">
        <v>0</v>
      </c>
      <c r="J234" t="s">
        <v>1174</v>
      </c>
      <c r="K234">
        <v>84</v>
      </c>
      <c r="L234" t="s">
        <v>1175</v>
      </c>
      <c r="M234">
        <v>20</v>
      </c>
      <c r="N234">
        <v>17</v>
      </c>
      <c r="O234">
        <v>10</v>
      </c>
      <c r="P234">
        <v>22</v>
      </c>
      <c r="Q234">
        <v>11</v>
      </c>
      <c r="R234">
        <v>10</v>
      </c>
      <c r="S234">
        <v>11</v>
      </c>
      <c r="T234">
        <v>3</v>
      </c>
      <c r="U234">
        <v>0</v>
      </c>
      <c r="V234">
        <v>6</v>
      </c>
      <c r="W234">
        <v>0</v>
      </c>
      <c r="X234">
        <v>0</v>
      </c>
      <c r="Y234">
        <v>0</v>
      </c>
      <c r="Z234" t="s">
        <v>1176</v>
      </c>
      <c r="AA234" t="s">
        <v>36</v>
      </c>
      <c r="AB234" t="s">
        <v>36</v>
      </c>
      <c r="AC234" t="s">
        <v>1177</v>
      </c>
      <c r="AD234" t="s">
        <v>36</v>
      </c>
      <c r="AE234" t="s">
        <v>1178</v>
      </c>
      <c r="AF234" t="s">
        <v>462</v>
      </c>
      <c r="AG234" s="1" t="s">
        <v>1657</v>
      </c>
    </row>
    <row r="235" spans="1:33" ht="15" customHeight="1" x14ac:dyDescent="0.25">
      <c r="A235" t="s">
        <v>1180</v>
      </c>
      <c r="B235" t="s">
        <v>1181</v>
      </c>
      <c r="C235">
        <v>0.25</v>
      </c>
      <c r="D235" t="s">
        <v>56</v>
      </c>
      <c r="E235" t="s">
        <v>518</v>
      </c>
      <c r="F235" t="s">
        <v>36</v>
      </c>
      <c r="G235" t="s">
        <v>159</v>
      </c>
      <c r="H235">
        <v>8</v>
      </c>
      <c r="I235">
        <v>-2</v>
      </c>
      <c r="J235" t="s">
        <v>1182</v>
      </c>
      <c r="K235">
        <v>15</v>
      </c>
      <c r="L235" t="s">
        <v>96</v>
      </c>
      <c r="M235">
        <v>20</v>
      </c>
      <c r="N235">
        <v>13</v>
      </c>
      <c r="O235">
        <v>6</v>
      </c>
      <c r="P235">
        <v>16</v>
      </c>
      <c r="Q235">
        <v>3</v>
      </c>
      <c r="R235">
        <v>6</v>
      </c>
      <c r="S235">
        <v>5</v>
      </c>
      <c r="T235">
        <v>1</v>
      </c>
      <c r="U235">
        <v>-2</v>
      </c>
      <c r="V235">
        <v>3</v>
      </c>
      <c r="W235">
        <v>-4</v>
      </c>
      <c r="X235">
        <v>0</v>
      </c>
      <c r="Y235">
        <v>-3</v>
      </c>
      <c r="Z235" t="s">
        <v>36</v>
      </c>
      <c r="AA235" t="s">
        <v>36</v>
      </c>
      <c r="AB235" t="s">
        <v>36</v>
      </c>
      <c r="AC235" t="s">
        <v>774</v>
      </c>
      <c r="AD235" t="s">
        <v>36</v>
      </c>
      <c r="AE235" t="s">
        <v>717</v>
      </c>
      <c r="AF235" t="s">
        <v>1528</v>
      </c>
      <c r="AG235" s="1" t="s">
        <v>1658</v>
      </c>
    </row>
    <row r="236" spans="1:33" ht="15" customHeight="1" x14ac:dyDescent="0.25">
      <c r="A236" t="s">
        <v>1184</v>
      </c>
      <c r="B236" t="s">
        <v>1181</v>
      </c>
      <c r="C236">
        <v>2</v>
      </c>
      <c r="D236" t="s">
        <v>34</v>
      </c>
      <c r="E236" t="s">
        <v>518</v>
      </c>
      <c r="F236" t="s">
        <v>36</v>
      </c>
      <c r="G236" t="s">
        <v>159</v>
      </c>
      <c r="H236">
        <v>8</v>
      </c>
      <c r="I236">
        <v>-2</v>
      </c>
      <c r="J236" t="s">
        <v>1185</v>
      </c>
      <c r="K236">
        <v>85</v>
      </c>
      <c r="L236" t="s">
        <v>85</v>
      </c>
      <c r="M236">
        <v>30</v>
      </c>
      <c r="N236">
        <v>19</v>
      </c>
      <c r="O236">
        <v>6</v>
      </c>
      <c r="P236">
        <v>18</v>
      </c>
      <c r="Q236">
        <v>3</v>
      </c>
      <c r="R236">
        <v>6</v>
      </c>
      <c r="S236">
        <v>5</v>
      </c>
      <c r="T236">
        <v>4</v>
      </c>
      <c r="U236">
        <v>-2</v>
      </c>
      <c r="V236">
        <v>4</v>
      </c>
      <c r="W236">
        <v>-4</v>
      </c>
      <c r="X236">
        <v>0</v>
      </c>
      <c r="Y236">
        <v>-3</v>
      </c>
      <c r="Z236" t="s">
        <v>36</v>
      </c>
      <c r="AA236" t="s">
        <v>36</v>
      </c>
      <c r="AB236" t="s">
        <v>36</v>
      </c>
      <c r="AC236" t="s">
        <v>774</v>
      </c>
      <c r="AD236" t="s">
        <v>36</v>
      </c>
      <c r="AE236" t="s">
        <v>717</v>
      </c>
      <c r="AF236" t="s">
        <v>1659</v>
      </c>
      <c r="AG236" s="1" t="s">
        <v>1660</v>
      </c>
    </row>
    <row r="237" spans="1:33" ht="15" customHeight="1" x14ac:dyDescent="0.25">
      <c r="A237" t="s">
        <v>1188</v>
      </c>
      <c r="B237" t="s">
        <v>1189</v>
      </c>
      <c r="C237">
        <v>2</v>
      </c>
      <c r="D237" t="s">
        <v>34</v>
      </c>
      <c r="E237" t="s">
        <v>1190</v>
      </c>
      <c r="F237" t="s">
        <v>1191</v>
      </c>
      <c r="G237" t="s">
        <v>58</v>
      </c>
      <c r="H237">
        <v>13</v>
      </c>
      <c r="I237">
        <v>1</v>
      </c>
      <c r="J237" t="s">
        <v>1192</v>
      </c>
      <c r="K237">
        <v>51</v>
      </c>
      <c r="L237" t="s">
        <v>990</v>
      </c>
      <c r="M237">
        <v>60</v>
      </c>
      <c r="N237">
        <v>19</v>
      </c>
      <c r="O237">
        <v>13</v>
      </c>
      <c r="P237">
        <v>17</v>
      </c>
      <c r="Q237">
        <v>2</v>
      </c>
      <c r="R237">
        <v>12</v>
      </c>
      <c r="S237">
        <v>5</v>
      </c>
      <c r="T237">
        <v>4</v>
      </c>
      <c r="U237">
        <v>1</v>
      </c>
      <c r="V237">
        <v>3</v>
      </c>
      <c r="W237">
        <v>-4</v>
      </c>
      <c r="X237">
        <v>1</v>
      </c>
      <c r="Y237">
        <v>-3</v>
      </c>
      <c r="Z237" t="s">
        <v>617</v>
      </c>
      <c r="AA237" t="s">
        <v>36</v>
      </c>
      <c r="AB237" t="s">
        <v>36</v>
      </c>
      <c r="AC237" t="s">
        <v>36</v>
      </c>
      <c r="AD237" t="s">
        <v>36</v>
      </c>
      <c r="AE237" t="s">
        <v>449</v>
      </c>
      <c r="AF237" t="s">
        <v>63</v>
      </c>
      <c r="AG237" s="1" t="s">
        <v>1193</v>
      </c>
    </row>
    <row r="238" spans="1:33" ht="15" customHeight="1" x14ac:dyDescent="0.25">
      <c r="A238" t="s">
        <v>1194</v>
      </c>
      <c r="B238" t="s">
        <v>1189</v>
      </c>
      <c r="C238">
        <v>3</v>
      </c>
      <c r="D238" t="s">
        <v>103</v>
      </c>
      <c r="E238" t="s">
        <v>1190</v>
      </c>
      <c r="F238" t="s">
        <v>1191</v>
      </c>
      <c r="G238" t="s">
        <v>58</v>
      </c>
      <c r="H238">
        <v>15</v>
      </c>
      <c r="I238">
        <v>0</v>
      </c>
      <c r="J238" t="s">
        <v>1195</v>
      </c>
      <c r="K238">
        <v>68</v>
      </c>
      <c r="L238" t="s">
        <v>85</v>
      </c>
      <c r="M238">
        <v>30</v>
      </c>
      <c r="N238">
        <v>19</v>
      </c>
      <c r="O238">
        <v>11</v>
      </c>
      <c r="P238">
        <v>15</v>
      </c>
      <c r="Q238">
        <v>2</v>
      </c>
      <c r="R238">
        <v>12</v>
      </c>
      <c r="S238">
        <v>5</v>
      </c>
      <c r="T238">
        <v>6</v>
      </c>
      <c r="U238">
        <v>0</v>
      </c>
      <c r="V238">
        <v>2</v>
      </c>
      <c r="W238">
        <v>-4</v>
      </c>
      <c r="X238">
        <v>1</v>
      </c>
      <c r="Y238">
        <v>-3</v>
      </c>
      <c r="Z238" t="s">
        <v>36</v>
      </c>
      <c r="AA238" t="s">
        <v>36</v>
      </c>
      <c r="AB238" t="s">
        <v>36</v>
      </c>
      <c r="AC238" t="s">
        <v>36</v>
      </c>
      <c r="AD238" t="s">
        <v>36</v>
      </c>
      <c r="AE238" t="s">
        <v>116</v>
      </c>
      <c r="AF238" t="s">
        <v>63</v>
      </c>
      <c r="AG238" s="1" t="s">
        <v>1196</v>
      </c>
    </row>
    <row r="239" spans="1:33" ht="15" customHeight="1" x14ac:dyDescent="0.25">
      <c r="A239" t="s">
        <v>1197</v>
      </c>
      <c r="B239" t="s">
        <v>1189</v>
      </c>
      <c r="C239">
        <v>0.5</v>
      </c>
      <c r="D239" t="s">
        <v>56</v>
      </c>
      <c r="E239" t="s">
        <v>1190</v>
      </c>
      <c r="F239" t="s">
        <v>36</v>
      </c>
      <c r="G239" t="s">
        <v>58</v>
      </c>
      <c r="H239">
        <v>12</v>
      </c>
      <c r="I239">
        <v>2</v>
      </c>
      <c r="J239" t="s">
        <v>1198</v>
      </c>
      <c r="K239">
        <v>19</v>
      </c>
      <c r="L239" t="s">
        <v>144</v>
      </c>
      <c r="M239">
        <v>30</v>
      </c>
      <c r="N239">
        <v>16</v>
      </c>
      <c r="O239">
        <v>14</v>
      </c>
      <c r="P239">
        <v>14</v>
      </c>
      <c r="Q239">
        <v>6</v>
      </c>
      <c r="R239">
        <v>12</v>
      </c>
      <c r="S239">
        <v>7</v>
      </c>
      <c r="T239">
        <v>3</v>
      </c>
      <c r="U239">
        <v>2</v>
      </c>
      <c r="V239">
        <v>2</v>
      </c>
      <c r="W239">
        <v>-2</v>
      </c>
      <c r="X239">
        <v>1</v>
      </c>
      <c r="Y239">
        <v>-2</v>
      </c>
      <c r="Z239" t="s">
        <v>1199</v>
      </c>
      <c r="AA239" t="s">
        <v>36</v>
      </c>
      <c r="AB239" t="s">
        <v>36</v>
      </c>
      <c r="AC239" t="s">
        <v>36</v>
      </c>
      <c r="AD239" t="s">
        <v>36</v>
      </c>
      <c r="AE239" t="s">
        <v>301</v>
      </c>
      <c r="AF239" t="s">
        <v>63</v>
      </c>
      <c r="AG239" s="1" t="s">
        <v>1200</v>
      </c>
    </row>
    <row r="240" spans="1:33" ht="15" customHeight="1" x14ac:dyDescent="0.25">
      <c r="A240" t="s">
        <v>1201</v>
      </c>
      <c r="B240" t="s">
        <v>1189</v>
      </c>
      <c r="C240">
        <v>4</v>
      </c>
      <c r="D240" t="s">
        <v>103</v>
      </c>
      <c r="E240" t="s">
        <v>1190</v>
      </c>
      <c r="F240" t="s">
        <v>1191</v>
      </c>
      <c r="G240" t="s">
        <v>58</v>
      </c>
      <c r="H240">
        <v>17</v>
      </c>
      <c r="I240">
        <v>3</v>
      </c>
      <c r="J240" t="s">
        <v>1202</v>
      </c>
      <c r="K240">
        <v>90</v>
      </c>
      <c r="L240" t="s">
        <v>1203</v>
      </c>
      <c r="M240">
        <v>20</v>
      </c>
      <c r="N240">
        <v>18</v>
      </c>
      <c r="O240">
        <v>16</v>
      </c>
      <c r="P240">
        <v>13</v>
      </c>
      <c r="Q240">
        <v>4</v>
      </c>
      <c r="R240">
        <v>14</v>
      </c>
      <c r="S240">
        <v>6</v>
      </c>
      <c r="T240">
        <v>4</v>
      </c>
      <c r="U240">
        <v>3</v>
      </c>
      <c r="V240">
        <v>1</v>
      </c>
      <c r="W240">
        <v>-3</v>
      </c>
      <c r="X240">
        <v>2</v>
      </c>
      <c r="Y240">
        <v>-2</v>
      </c>
      <c r="Z240" t="s">
        <v>333</v>
      </c>
      <c r="AA240" t="s">
        <v>36</v>
      </c>
      <c r="AB240" t="s">
        <v>36</v>
      </c>
      <c r="AC240" t="s">
        <v>36</v>
      </c>
      <c r="AD240" t="s">
        <v>36</v>
      </c>
      <c r="AE240" t="s">
        <v>398</v>
      </c>
      <c r="AF240" t="s">
        <v>63</v>
      </c>
      <c r="AG240" s="1" t="s">
        <v>1204</v>
      </c>
    </row>
    <row r="241" spans="1:33" ht="15" customHeight="1" x14ac:dyDescent="0.25">
      <c r="A241" t="s">
        <v>1205</v>
      </c>
      <c r="B241" t="s">
        <v>1189</v>
      </c>
      <c r="C241">
        <v>0</v>
      </c>
      <c r="D241" t="s">
        <v>66</v>
      </c>
      <c r="E241" t="s">
        <v>1190</v>
      </c>
      <c r="F241" t="s">
        <v>36</v>
      </c>
      <c r="G241" t="s">
        <v>58</v>
      </c>
      <c r="H241">
        <v>12</v>
      </c>
      <c r="I241">
        <v>2</v>
      </c>
      <c r="J241" t="s">
        <v>1206</v>
      </c>
      <c r="K241">
        <v>3</v>
      </c>
      <c r="L241" t="s">
        <v>144</v>
      </c>
      <c r="M241">
        <v>30</v>
      </c>
      <c r="N241">
        <v>8</v>
      </c>
      <c r="O241">
        <v>14</v>
      </c>
      <c r="P241">
        <v>11</v>
      </c>
      <c r="Q241">
        <v>4</v>
      </c>
      <c r="R241">
        <v>12</v>
      </c>
      <c r="S241">
        <v>6</v>
      </c>
      <c r="T241">
        <v>-1</v>
      </c>
      <c r="U241">
        <v>2</v>
      </c>
      <c r="V241">
        <v>0</v>
      </c>
      <c r="W241">
        <v>-3</v>
      </c>
      <c r="X241">
        <v>1</v>
      </c>
      <c r="Y241">
        <v>-2</v>
      </c>
      <c r="Z241" t="s">
        <v>36</v>
      </c>
      <c r="AA241" t="s">
        <v>36</v>
      </c>
      <c r="AB241" t="s">
        <v>36</v>
      </c>
      <c r="AC241" t="s">
        <v>36</v>
      </c>
      <c r="AD241" t="s">
        <v>36</v>
      </c>
      <c r="AE241" t="s">
        <v>116</v>
      </c>
      <c r="AF241" t="s">
        <v>63</v>
      </c>
      <c r="AG241" s="1" t="s">
        <v>1661</v>
      </c>
    </row>
    <row r="242" spans="1:33" ht="15" customHeight="1" x14ac:dyDescent="0.25">
      <c r="A242" t="s">
        <v>1208</v>
      </c>
      <c r="B242" t="s">
        <v>1189</v>
      </c>
      <c r="C242">
        <v>0</v>
      </c>
      <c r="D242" t="s">
        <v>669</v>
      </c>
      <c r="E242" t="s">
        <v>1190</v>
      </c>
      <c r="F242" t="s">
        <v>36</v>
      </c>
      <c r="G242" t="s">
        <v>58</v>
      </c>
      <c r="H242">
        <v>11</v>
      </c>
      <c r="I242">
        <v>0</v>
      </c>
      <c r="J242" t="s">
        <v>1209</v>
      </c>
      <c r="K242">
        <v>5</v>
      </c>
      <c r="L242" t="s">
        <v>1210</v>
      </c>
      <c r="M242">
        <v>20</v>
      </c>
      <c r="N242">
        <v>10</v>
      </c>
      <c r="O242">
        <v>11</v>
      </c>
      <c r="P242">
        <v>16</v>
      </c>
      <c r="Q242">
        <v>2</v>
      </c>
      <c r="R242">
        <v>12</v>
      </c>
      <c r="S242">
        <v>5</v>
      </c>
      <c r="T242">
        <v>0</v>
      </c>
      <c r="U242">
        <v>0</v>
      </c>
      <c r="V242">
        <v>3</v>
      </c>
      <c r="W242">
        <v>-4</v>
      </c>
      <c r="X242">
        <v>1</v>
      </c>
      <c r="Y242">
        <v>-3</v>
      </c>
      <c r="Z242" t="s">
        <v>1211</v>
      </c>
      <c r="AA242" t="s">
        <v>87</v>
      </c>
      <c r="AB242" t="s">
        <v>36</v>
      </c>
      <c r="AC242" t="s">
        <v>36</v>
      </c>
      <c r="AD242" t="s">
        <v>36</v>
      </c>
      <c r="AE242" t="s">
        <v>1212</v>
      </c>
      <c r="AF242" t="s">
        <v>63</v>
      </c>
      <c r="AG242" s="1" t="s">
        <v>1213</v>
      </c>
    </row>
    <row r="243" spans="1:33" ht="15" customHeight="1" x14ac:dyDescent="0.25">
      <c r="A243" t="s">
        <v>1214</v>
      </c>
      <c r="B243" t="s">
        <v>1189</v>
      </c>
      <c r="C243">
        <v>0</v>
      </c>
      <c r="D243" t="s">
        <v>669</v>
      </c>
      <c r="E243" t="s">
        <v>1190</v>
      </c>
      <c r="F243" t="s">
        <v>36</v>
      </c>
      <c r="G243" t="s">
        <v>58</v>
      </c>
      <c r="H243">
        <v>12</v>
      </c>
      <c r="I243">
        <v>2</v>
      </c>
      <c r="J243" t="s">
        <v>1215</v>
      </c>
      <c r="K243">
        <v>1</v>
      </c>
      <c r="L243" t="s">
        <v>1216</v>
      </c>
      <c r="M243">
        <v>5</v>
      </c>
      <c r="N243">
        <v>2</v>
      </c>
      <c r="O243">
        <v>15</v>
      </c>
      <c r="P243">
        <v>8</v>
      </c>
      <c r="Q243">
        <v>2</v>
      </c>
      <c r="R243">
        <v>12</v>
      </c>
      <c r="S243">
        <v>4</v>
      </c>
      <c r="T243">
        <v>-4</v>
      </c>
      <c r="U243">
        <v>2</v>
      </c>
      <c r="V243">
        <v>-1</v>
      </c>
      <c r="W243">
        <v>-4</v>
      </c>
      <c r="X243">
        <v>1</v>
      </c>
      <c r="Y243">
        <v>-3</v>
      </c>
      <c r="Z243" t="s">
        <v>36</v>
      </c>
      <c r="AA243" t="s">
        <v>36</v>
      </c>
      <c r="AB243" t="s">
        <v>36</v>
      </c>
      <c r="AC243" t="s">
        <v>36</v>
      </c>
      <c r="AD243" t="s">
        <v>36</v>
      </c>
      <c r="AE243" t="s">
        <v>1217</v>
      </c>
      <c r="AF243" t="s">
        <v>63</v>
      </c>
      <c r="AG243" s="1" t="s">
        <v>1218</v>
      </c>
    </row>
    <row r="244" spans="1:33" ht="15" customHeight="1" x14ac:dyDescent="0.25">
      <c r="A244" t="s">
        <v>1219</v>
      </c>
      <c r="B244" t="s">
        <v>1189</v>
      </c>
      <c r="C244">
        <v>0.5</v>
      </c>
      <c r="D244" t="s">
        <v>56</v>
      </c>
      <c r="E244" t="s">
        <v>1190</v>
      </c>
      <c r="F244" t="s">
        <v>36</v>
      </c>
      <c r="G244" t="s">
        <v>58</v>
      </c>
      <c r="H244">
        <v>11</v>
      </c>
      <c r="I244">
        <v>1</v>
      </c>
      <c r="J244" t="s">
        <v>1198</v>
      </c>
      <c r="K244">
        <v>19</v>
      </c>
      <c r="L244" t="s">
        <v>1220</v>
      </c>
      <c r="M244">
        <v>30</v>
      </c>
      <c r="N244">
        <v>15</v>
      </c>
      <c r="O244">
        <v>12</v>
      </c>
      <c r="P244">
        <v>14</v>
      </c>
      <c r="Q244">
        <v>2</v>
      </c>
      <c r="R244">
        <v>12</v>
      </c>
      <c r="S244">
        <v>7</v>
      </c>
      <c r="T244">
        <v>2</v>
      </c>
      <c r="U244">
        <v>1</v>
      </c>
      <c r="V244">
        <v>2</v>
      </c>
      <c r="W244">
        <v>-4</v>
      </c>
      <c r="X244">
        <v>1</v>
      </c>
      <c r="Y244">
        <v>-2</v>
      </c>
      <c r="Z244" t="s">
        <v>617</v>
      </c>
      <c r="AA244" t="s">
        <v>36</v>
      </c>
      <c r="AB244" t="s">
        <v>36</v>
      </c>
      <c r="AC244" t="s">
        <v>36</v>
      </c>
      <c r="AD244" t="s">
        <v>36</v>
      </c>
      <c r="AE244" t="s">
        <v>212</v>
      </c>
      <c r="AF244" t="s">
        <v>63</v>
      </c>
      <c r="AG244" s="1" t="s">
        <v>1221</v>
      </c>
    </row>
    <row r="245" spans="1:33" ht="15" customHeight="1" x14ac:dyDescent="0.25">
      <c r="A245" t="s">
        <v>1222</v>
      </c>
      <c r="B245" t="s">
        <v>1189</v>
      </c>
      <c r="C245">
        <v>0.125</v>
      </c>
      <c r="D245" t="s">
        <v>66</v>
      </c>
      <c r="E245" t="s">
        <v>1190</v>
      </c>
      <c r="F245" t="s">
        <v>36</v>
      </c>
      <c r="G245" t="s">
        <v>58</v>
      </c>
      <c r="H245">
        <v>12</v>
      </c>
      <c r="I245">
        <v>2</v>
      </c>
      <c r="J245" t="s">
        <v>552</v>
      </c>
      <c r="K245">
        <v>7</v>
      </c>
      <c r="L245" t="s">
        <v>1223</v>
      </c>
      <c r="M245">
        <v>10</v>
      </c>
      <c r="N245">
        <v>6</v>
      </c>
      <c r="O245">
        <v>14</v>
      </c>
      <c r="P245">
        <v>10</v>
      </c>
      <c r="Q245">
        <v>3</v>
      </c>
      <c r="R245">
        <v>14</v>
      </c>
      <c r="S245">
        <v>5</v>
      </c>
      <c r="T245">
        <v>-2</v>
      </c>
      <c r="U245">
        <v>2</v>
      </c>
      <c r="V245">
        <v>0</v>
      </c>
      <c r="W245">
        <v>-4</v>
      </c>
      <c r="X245">
        <v>2</v>
      </c>
      <c r="Y245">
        <v>-3</v>
      </c>
      <c r="Z245" t="s">
        <v>293</v>
      </c>
      <c r="AA245" t="s">
        <v>36</v>
      </c>
      <c r="AB245" t="s">
        <v>36</v>
      </c>
      <c r="AC245" t="s">
        <v>36</v>
      </c>
      <c r="AD245" t="s">
        <v>36</v>
      </c>
      <c r="AE245" t="s">
        <v>89</v>
      </c>
      <c r="AF245" t="s">
        <v>63</v>
      </c>
      <c r="AG245" s="1" t="s">
        <v>1662</v>
      </c>
    </row>
    <row r="246" spans="1:33" ht="15" customHeight="1" x14ac:dyDescent="0.25">
      <c r="A246" t="s">
        <v>1225</v>
      </c>
      <c r="B246" t="s">
        <v>1189</v>
      </c>
      <c r="C246">
        <v>0.25</v>
      </c>
      <c r="D246" t="s">
        <v>56</v>
      </c>
      <c r="E246" t="s">
        <v>1190</v>
      </c>
      <c r="F246" t="s">
        <v>36</v>
      </c>
      <c r="G246" t="s">
        <v>58</v>
      </c>
      <c r="H246">
        <v>11</v>
      </c>
      <c r="I246">
        <v>0</v>
      </c>
      <c r="J246" t="s">
        <v>984</v>
      </c>
      <c r="K246">
        <v>13</v>
      </c>
      <c r="L246" t="s">
        <v>210</v>
      </c>
      <c r="M246">
        <v>40</v>
      </c>
      <c r="N246">
        <v>13</v>
      </c>
      <c r="O246">
        <v>11</v>
      </c>
      <c r="P246">
        <v>14</v>
      </c>
      <c r="Q246">
        <v>2</v>
      </c>
      <c r="R246">
        <v>9</v>
      </c>
      <c r="S246">
        <v>5</v>
      </c>
      <c r="T246">
        <v>1</v>
      </c>
      <c r="U246">
        <v>0</v>
      </c>
      <c r="V246">
        <v>2</v>
      </c>
      <c r="W246">
        <v>-4</v>
      </c>
      <c r="X246">
        <v>-1</v>
      </c>
      <c r="Y246">
        <v>-3</v>
      </c>
      <c r="Z246" t="s">
        <v>36</v>
      </c>
      <c r="AA246" t="s">
        <v>36</v>
      </c>
      <c r="AB246" t="s">
        <v>36</v>
      </c>
      <c r="AC246" t="s">
        <v>36</v>
      </c>
      <c r="AD246" t="s">
        <v>36</v>
      </c>
      <c r="AE246" t="s">
        <v>1226</v>
      </c>
      <c r="AF246" t="s">
        <v>63</v>
      </c>
      <c r="AG246" s="1" t="s">
        <v>1227</v>
      </c>
    </row>
    <row r="247" spans="1:33" ht="15" customHeight="1" x14ac:dyDescent="0.25">
      <c r="A247" t="s">
        <v>1228</v>
      </c>
      <c r="B247" t="s">
        <v>1189</v>
      </c>
      <c r="C247">
        <v>1</v>
      </c>
      <c r="D247" t="s">
        <v>34</v>
      </c>
      <c r="E247" t="s">
        <v>1190</v>
      </c>
      <c r="F247" t="s">
        <v>36</v>
      </c>
      <c r="G247" t="s">
        <v>58</v>
      </c>
      <c r="H247">
        <v>11</v>
      </c>
      <c r="I247">
        <v>1</v>
      </c>
      <c r="J247" t="s">
        <v>989</v>
      </c>
      <c r="K247">
        <v>22</v>
      </c>
      <c r="L247" t="s">
        <v>1229</v>
      </c>
      <c r="M247">
        <v>40</v>
      </c>
      <c r="N247">
        <v>17</v>
      </c>
      <c r="O247">
        <v>12</v>
      </c>
      <c r="P247">
        <v>15</v>
      </c>
      <c r="Q247">
        <v>2</v>
      </c>
      <c r="R247">
        <v>13</v>
      </c>
      <c r="S247">
        <v>7</v>
      </c>
      <c r="T247">
        <v>3</v>
      </c>
      <c r="U247">
        <v>1</v>
      </c>
      <c r="V247">
        <v>2</v>
      </c>
      <c r="W247">
        <v>-4</v>
      </c>
      <c r="X247">
        <v>1</v>
      </c>
      <c r="Y247">
        <v>-2</v>
      </c>
      <c r="Z247" t="s">
        <v>1211</v>
      </c>
      <c r="AA247" t="s">
        <v>36</v>
      </c>
      <c r="AB247" t="s">
        <v>36</v>
      </c>
      <c r="AC247" t="s">
        <v>36</v>
      </c>
      <c r="AD247" t="s">
        <v>36</v>
      </c>
      <c r="AE247" t="s">
        <v>475</v>
      </c>
      <c r="AF247" t="s">
        <v>63</v>
      </c>
      <c r="AG247" s="1" t="s">
        <v>1230</v>
      </c>
    </row>
    <row r="248" spans="1:33" ht="15" customHeight="1" x14ac:dyDescent="0.25">
      <c r="A248" t="s">
        <v>1231</v>
      </c>
      <c r="B248" t="s">
        <v>1189</v>
      </c>
      <c r="C248">
        <v>0.125</v>
      </c>
      <c r="D248" t="s">
        <v>34</v>
      </c>
      <c r="E248" t="s">
        <v>1190</v>
      </c>
      <c r="F248" t="s">
        <v>36</v>
      </c>
      <c r="G248" t="s">
        <v>58</v>
      </c>
      <c r="H248">
        <v>10</v>
      </c>
      <c r="I248">
        <v>-1</v>
      </c>
      <c r="J248" t="s">
        <v>1232</v>
      </c>
      <c r="K248">
        <v>17</v>
      </c>
      <c r="L248" t="s">
        <v>109</v>
      </c>
      <c r="M248">
        <v>50</v>
      </c>
      <c r="N248">
        <v>15</v>
      </c>
      <c r="O248">
        <v>8</v>
      </c>
      <c r="P248">
        <v>17</v>
      </c>
      <c r="Q248">
        <v>2</v>
      </c>
      <c r="R248">
        <v>11</v>
      </c>
      <c r="S248">
        <v>5</v>
      </c>
      <c r="T248">
        <v>2</v>
      </c>
      <c r="U248">
        <v>-1</v>
      </c>
      <c r="V248">
        <v>5</v>
      </c>
      <c r="W248">
        <v>-4</v>
      </c>
      <c r="X248">
        <v>0</v>
      </c>
      <c r="Y248">
        <v>-3</v>
      </c>
      <c r="Z248" t="s">
        <v>36</v>
      </c>
      <c r="AA248" t="s">
        <v>36</v>
      </c>
      <c r="AB248" t="s">
        <v>36</v>
      </c>
      <c r="AC248" t="s">
        <v>36</v>
      </c>
      <c r="AD248" t="s">
        <v>36</v>
      </c>
      <c r="AE248" t="s">
        <v>51</v>
      </c>
      <c r="AF248" t="s">
        <v>63</v>
      </c>
      <c r="AG248" s="1" t="s">
        <v>1233</v>
      </c>
    </row>
    <row r="249" spans="1:33" ht="15" customHeight="1" x14ac:dyDescent="0.25">
      <c r="A249" t="s">
        <v>1234</v>
      </c>
      <c r="B249" t="s">
        <v>1189</v>
      </c>
      <c r="C249">
        <v>0</v>
      </c>
      <c r="D249" t="s">
        <v>669</v>
      </c>
      <c r="E249" t="s">
        <v>1190</v>
      </c>
      <c r="F249" t="s">
        <v>36</v>
      </c>
      <c r="G249" t="s">
        <v>58</v>
      </c>
      <c r="H249">
        <v>12</v>
      </c>
      <c r="I249">
        <v>2</v>
      </c>
      <c r="J249" t="s">
        <v>1235</v>
      </c>
      <c r="K249">
        <v>2</v>
      </c>
      <c r="L249" t="s">
        <v>761</v>
      </c>
      <c r="M249">
        <v>40</v>
      </c>
      <c r="N249">
        <v>3</v>
      </c>
      <c r="O249">
        <v>15</v>
      </c>
      <c r="P249">
        <v>10</v>
      </c>
      <c r="Q249">
        <v>3</v>
      </c>
      <c r="R249">
        <v>12</v>
      </c>
      <c r="S249">
        <v>7</v>
      </c>
      <c r="T249">
        <v>-4</v>
      </c>
      <c r="U249">
        <v>4</v>
      </c>
      <c r="V249">
        <v>0</v>
      </c>
      <c r="W249">
        <v>-4</v>
      </c>
      <c r="X249">
        <v>1</v>
      </c>
      <c r="Y249">
        <v>-2</v>
      </c>
      <c r="Z249" t="s">
        <v>1153</v>
      </c>
      <c r="AA249" t="s">
        <v>36</v>
      </c>
      <c r="AB249" t="s">
        <v>36</v>
      </c>
      <c r="AC249" t="s">
        <v>36</v>
      </c>
      <c r="AD249" t="s">
        <v>36</v>
      </c>
      <c r="AE249" t="s">
        <v>475</v>
      </c>
      <c r="AF249" t="s">
        <v>63</v>
      </c>
      <c r="AG249" s="1" t="s">
        <v>1663</v>
      </c>
    </row>
    <row r="250" spans="1:33" ht="15" customHeight="1" x14ac:dyDescent="0.25">
      <c r="A250" t="s">
        <v>1237</v>
      </c>
      <c r="B250" t="s">
        <v>1189</v>
      </c>
      <c r="C250">
        <v>0.25</v>
      </c>
      <c r="D250" t="s">
        <v>34</v>
      </c>
      <c r="E250" t="s">
        <v>1190</v>
      </c>
      <c r="F250" t="s">
        <v>36</v>
      </c>
      <c r="G250" t="s">
        <v>58</v>
      </c>
      <c r="H250">
        <v>13</v>
      </c>
      <c r="I250">
        <v>2</v>
      </c>
      <c r="J250" t="s">
        <v>1238</v>
      </c>
      <c r="K250">
        <v>13</v>
      </c>
      <c r="L250" t="s">
        <v>318</v>
      </c>
      <c r="M250">
        <v>30</v>
      </c>
      <c r="N250">
        <v>15</v>
      </c>
      <c r="O250">
        <v>14</v>
      </c>
      <c r="P250">
        <v>12</v>
      </c>
      <c r="Q250">
        <v>1</v>
      </c>
      <c r="R250">
        <v>10</v>
      </c>
      <c r="S250">
        <v>3</v>
      </c>
      <c r="T250">
        <v>2</v>
      </c>
      <c r="U250">
        <v>2</v>
      </c>
      <c r="V250">
        <v>1</v>
      </c>
      <c r="W250">
        <v>-5</v>
      </c>
      <c r="X250">
        <v>0</v>
      </c>
      <c r="Y250">
        <v>-4</v>
      </c>
      <c r="Z250" t="s">
        <v>773</v>
      </c>
      <c r="AA250" t="s">
        <v>36</v>
      </c>
      <c r="AB250" t="s">
        <v>36</v>
      </c>
      <c r="AC250" t="s">
        <v>36</v>
      </c>
      <c r="AD250" t="s">
        <v>36</v>
      </c>
      <c r="AE250" t="s">
        <v>1239</v>
      </c>
      <c r="AF250" t="s">
        <v>63</v>
      </c>
      <c r="AG250" s="1" t="s">
        <v>1240</v>
      </c>
    </row>
    <row r="251" spans="1:33" ht="15" customHeight="1" x14ac:dyDescent="0.25">
      <c r="A251" t="s">
        <v>1241</v>
      </c>
      <c r="B251" t="s">
        <v>1189</v>
      </c>
      <c r="C251">
        <v>0</v>
      </c>
      <c r="D251" t="s">
        <v>669</v>
      </c>
      <c r="E251" t="s">
        <v>1190</v>
      </c>
      <c r="F251" t="s">
        <v>36</v>
      </c>
      <c r="G251" t="s">
        <v>58</v>
      </c>
      <c r="H251">
        <v>11</v>
      </c>
      <c r="I251">
        <v>0</v>
      </c>
      <c r="J251" t="s">
        <v>1242</v>
      </c>
      <c r="K251">
        <v>3</v>
      </c>
      <c r="L251" t="s">
        <v>533</v>
      </c>
      <c r="M251">
        <v>20</v>
      </c>
      <c r="N251">
        <v>6</v>
      </c>
      <c r="O251">
        <v>11</v>
      </c>
      <c r="P251">
        <v>12</v>
      </c>
      <c r="Q251">
        <v>1</v>
      </c>
      <c r="R251">
        <v>8</v>
      </c>
      <c r="S251">
        <v>2</v>
      </c>
      <c r="T251">
        <v>-2</v>
      </c>
      <c r="U251">
        <v>0</v>
      </c>
      <c r="V251">
        <v>1</v>
      </c>
      <c r="W251">
        <v>-5</v>
      </c>
      <c r="X251">
        <v>-1</v>
      </c>
      <c r="Y251">
        <v>-4</v>
      </c>
      <c r="Z251" t="s">
        <v>586</v>
      </c>
      <c r="AA251" t="s">
        <v>36</v>
      </c>
      <c r="AB251" t="s">
        <v>36</v>
      </c>
      <c r="AC251" t="s">
        <v>36</v>
      </c>
      <c r="AD251" t="s">
        <v>36</v>
      </c>
      <c r="AE251" t="s">
        <v>1243</v>
      </c>
      <c r="AF251" t="s">
        <v>63</v>
      </c>
      <c r="AG251" s="1" t="s">
        <v>1244</v>
      </c>
    </row>
    <row r="252" spans="1:33" ht="15" customHeight="1" x14ac:dyDescent="0.25">
      <c r="A252" t="s">
        <v>1245</v>
      </c>
      <c r="B252" t="s">
        <v>1189</v>
      </c>
      <c r="C252">
        <v>0.5</v>
      </c>
      <c r="D252" t="s">
        <v>34</v>
      </c>
      <c r="E252" t="s">
        <v>1190</v>
      </c>
      <c r="F252" t="s">
        <v>36</v>
      </c>
      <c r="G252" t="s">
        <v>58</v>
      </c>
      <c r="H252">
        <v>12</v>
      </c>
      <c r="I252">
        <v>0</v>
      </c>
      <c r="J252" t="s">
        <v>1238</v>
      </c>
      <c r="K252">
        <v>13</v>
      </c>
      <c r="L252" t="s">
        <v>1246</v>
      </c>
      <c r="M252">
        <v>20</v>
      </c>
      <c r="N252">
        <v>15</v>
      </c>
      <c r="O252">
        <v>10</v>
      </c>
      <c r="P252">
        <v>13</v>
      </c>
      <c r="Q252">
        <v>2</v>
      </c>
      <c r="R252">
        <v>10</v>
      </c>
      <c r="S252">
        <v>5</v>
      </c>
      <c r="T252">
        <v>2</v>
      </c>
      <c r="U252">
        <v>0</v>
      </c>
      <c r="V252">
        <v>3</v>
      </c>
      <c r="W252">
        <v>-4</v>
      </c>
      <c r="X252">
        <v>0</v>
      </c>
      <c r="Y252">
        <v>-3</v>
      </c>
      <c r="Z252" t="s">
        <v>586</v>
      </c>
      <c r="AA252" t="s">
        <v>36</v>
      </c>
      <c r="AB252" t="s">
        <v>36</v>
      </c>
      <c r="AC252" t="s">
        <v>36</v>
      </c>
      <c r="AD252" t="s">
        <v>36</v>
      </c>
      <c r="AE252" t="s">
        <v>99</v>
      </c>
      <c r="AF252" t="s">
        <v>63</v>
      </c>
      <c r="AG252" s="1" t="s">
        <v>1247</v>
      </c>
    </row>
    <row r="253" spans="1:33" ht="15" customHeight="1" x14ac:dyDescent="0.25">
      <c r="A253" t="s">
        <v>1248</v>
      </c>
      <c r="B253" t="s">
        <v>1189</v>
      </c>
      <c r="C253">
        <v>0</v>
      </c>
      <c r="D253" t="s">
        <v>56</v>
      </c>
      <c r="E253" t="s">
        <v>1190</v>
      </c>
      <c r="F253" t="s">
        <v>36</v>
      </c>
      <c r="G253" t="s">
        <v>58</v>
      </c>
      <c r="H253">
        <v>13</v>
      </c>
      <c r="I253">
        <v>3</v>
      </c>
      <c r="J253" t="s">
        <v>352</v>
      </c>
      <c r="K253">
        <v>4</v>
      </c>
      <c r="L253" t="s">
        <v>109</v>
      </c>
      <c r="M253">
        <v>50</v>
      </c>
      <c r="N253">
        <v>11</v>
      </c>
      <c r="O253">
        <v>16</v>
      </c>
      <c r="P253">
        <v>11</v>
      </c>
      <c r="Q253">
        <v>2</v>
      </c>
      <c r="R253">
        <v>14</v>
      </c>
      <c r="S253">
        <v>5</v>
      </c>
      <c r="T253">
        <v>0</v>
      </c>
      <c r="U253">
        <v>3</v>
      </c>
      <c r="V253">
        <v>0</v>
      </c>
      <c r="W253">
        <v>-4</v>
      </c>
      <c r="X253">
        <v>2</v>
      </c>
      <c r="Y253">
        <v>-3</v>
      </c>
      <c r="Z253" t="s">
        <v>319</v>
      </c>
      <c r="AA253" t="s">
        <v>36</v>
      </c>
      <c r="AB253" t="s">
        <v>36</v>
      </c>
      <c r="AC253" t="s">
        <v>36</v>
      </c>
      <c r="AD253" t="s">
        <v>36</v>
      </c>
      <c r="AE253" t="s">
        <v>321</v>
      </c>
      <c r="AF253" t="s">
        <v>63</v>
      </c>
      <c r="AG253" s="1" t="s">
        <v>1664</v>
      </c>
    </row>
    <row r="254" spans="1:33" ht="15" customHeight="1" x14ac:dyDescent="0.25">
      <c r="A254" t="s">
        <v>1250</v>
      </c>
      <c r="B254" t="s">
        <v>1189</v>
      </c>
      <c r="C254">
        <v>1</v>
      </c>
      <c r="D254" t="s">
        <v>34</v>
      </c>
      <c r="E254" t="s">
        <v>1190</v>
      </c>
      <c r="F254" t="s">
        <v>36</v>
      </c>
      <c r="G254" t="s">
        <v>58</v>
      </c>
      <c r="H254">
        <v>14</v>
      </c>
      <c r="I254">
        <v>2</v>
      </c>
      <c r="J254" t="s">
        <v>989</v>
      </c>
      <c r="K254">
        <v>22</v>
      </c>
      <c r="L254" t="s">
        <v>109</v>
      </c>
      <c r="M254">
        <v>50</v>
      </c>
      <c r="N254">
        <v>17</v>
      </c>
      <c r="O254">
        <v>15</v>
      </c>
      <c r="P254">
        <v>15</v>
      </c>
      <c r="Q254">
        <v>3</v>
      </c>
      <c r="R254">
        <v>12</v>
      </c>
      <c r="S254">
        <v>7</v>
      </c>
      <c r="T254">
        <v>3</v>
      </c>
      <c r="U254">
        <v>2</v>
      </c>
      <c r="V254">
        <v>2</v>
      </c>
      <c r="W254">
        <v>-4</v>
      </c>
      <c r="X254">
        <v>1</v>
      </c>
      <c r="Y254">
        <v>-2</v>
      </c>
      <c r="Z254" t="s">
        <v>406</v>
      </c>
      <c r="AA254" t="s">
        <v>36</v>
      </c>
      <c r="AB254" t="s">
        <v>36</v>
      </c>
      <c r="AC254" t="s">
        <v>36</v>
      </c>
      <c r="AD254" t="s">
        <v>36</v>
      </c>
      <c r="AE254" t="s">
        <v>212</v>
      </c>
      <c r="AF254" t="s">
        <v>63</v>
      </c>
      <c r="AG254" s="1" t="s">
        <v>1665</v>
      </c>
    </row>
    <row r="255" spans="1:33" ht="15" customHeight="1" x14ac:dyDescent="0.25">
      <c r="A255" t="s">
        <v>1252</v>
      </c>
      <c r="B255" t="s">
        <v>1189</v>
      </c>
      <c r="C255">
        <v>0.25</v>
      </c>
      <c r="D255" t="s">
        <v>34</v>
      </c>
      <c r="E255" t="s">
        <v>1190</v>
      </c>
      <c r="F255" t="s">
        <v>36</v>
      </c>
      <c r="G255" t="s">
        <v>58</v>
      </c>
      <c r="H255">
        <v>10</v>
      </c>
      <c r="I255">
        <v>0</v>
      </c>
      <c r="J255" t="s">
        <v>1253</v>
      </c>
      <c r="K255">
        <v>15</v>
      </c>
      <c r="L255" t="s">
        <v>210</v>
      </c>
      <c r="M255">
        <v>40</v>
      </c>
      <c r="N255">
        <v>18</v>
      </c>
      <c r="O255">
        <v>10</v>
      </c>
      <c r="P255">
        <v>15</v>
      </c>
      <c r="Q255">
        <v>2</v>
      </c>
      <c r="R255">
        <v>11</v>
      </c>
      <c r="S255">
        <v>7</v>
      </c>
      <c r="T255">
        <v>4</v>
      </c>
      <c r="U255">
        <v>0</v>
      </c>
      <c r="V255">
        <v>2</v>
      </c>
      <c r="W255">
        <v>-4</v>
      </c>
      <c r="X255">
        <v>0</v>
      </c>
      <c r="Y255">
        <v>-2</v>
      </c>
      <c r="Z255" t="s">
        <v>36</v>
      </c>
      <c r="AA255" t="s">
        <v>36</v>
      </c>
      <c r="AB255" t="s">
        <v>36</v>
      </c>
      <c r="AC255" t="s">
        <v>36</v>
      </c>
      <c r="AD255" t="s">
        <v>36</v>
      </c>
      <c r="AE255" t="s">
        <v>99</v>
      </c>
      <c r="AF255" t="s">
        <v>63</v>
      </c>
      <c r="AG255" s="1" t="s">
        <v>1254</v>
      </c>
    </row>
    <row r="256" spans="1:33" ht="15" customHeight="1" x14ac:dyDescent="0.25">
      <c r="A256" t="s">
        <v>1255</v>
      </c>
      <c r="B256" t="s">
        <v>1189</v>
      </c>
      <c r="C256">
        <v>0</v>
      </c>
      <c r="D256" t="s">
        <v>66</v>
      </c>
      <c r="E256" t="s">
        <v>1190</v>
      </c>
      <c r="F256" t="s">
        <v>36</v>
      </c>
      <c r="G256" t="s">
        <v>58</v>
      </c>
      <c r="H256">
        <v>12</v>
      </c>
      <c r="I256">
        <v>2</v>
      </c>
      <c r="J256" t="s">
        <v>1256</v>
      </c>
      <c r="K256">
        <v>4</v>
      </c>
      <c r="L256" t="s">
        <v>1223</v>
      </c>
      <c r="M256">
        <v>10</v>
      </c>
      <c r="N256">
        <v>6</v>
      </c>
      <c r="O256">
        <v>15</v>
      </c>
      <c r="P256">
        <v>12</v>
      </c>
      <c r="Q256">
        <v>2</v>
      </c>
      <c r="R256">
        <v>14</v>
      </c>
      <c r="S256">
        <v>7</v>
      </c>
      <c r="T256">
        <v>-2</v>
      </c>
      <c r="U256">
        <v>2</v>
      </c>
      <c r="V256">
        <v>1</v>
      </c>
      <c r="W256">
        <v>-4</v>
      </c>
      <c r="X256">
        <v>2</v>
      </c>
      <c r="Y256">
        <v>-2</v>
      </c>
      <c r="Z256" t="s">
        <v>293</v>
      </c>
      <c r="AA256" t="s">
        <v>36</v>
      </c>
      <c r="AB256" t="s">
        <v>36</v>
      </c>
      <c r="AC256" t="s">
        <v>36</v>
      </c>
      <c r="AD256" t="s">
        <v>36</v>
      </c>
      <c r="AE256" t="s">
        <v>89</v>
      </c>
      <c r="AF256" t="s">
        <v>63</v>
      </c>
      <c r="AG256" s="1" t="s">
        <v>1257</v>
      </c>
    </row>
    <row r="257" spans="1:33" ht="15" customHeight="1" x14ac:dyDescent="0.25">
      <c r="A257" t="s">
        <v>1258</v>
      </c>
      <c r="B257" t="s">
        <v>1189</v>
      </c>
      <c r="C257">
        <v>4</v>
      </c>
      <c r="D257" t="s">
        <v>103</v>
      </c>
      <c r="E257" t="s">
        <v>1190</v>
      </c>
      <c r="F257" t="s">
        <v>36</v>
      </c>
      <c r="G257" t="s">
        <v>58</v>
      </c>
      <c r="H257">
        <v>12</v>
      </c>
      <c r="I257">
        <v>-1</v>
      </c>
      <c r="J257" t="s">
        <v>1259</v>
      </c>
      <c r="K257">
        <v>76</v>
      </c>
      <c r="L257" t="s">
        <v>210</v>
      </c>
      <c r="M257">
        <v>40</v>
      </c>
      <c r="N257">
        <v>22</v>
      </c>
      <c r="O257">
        <v>9</v>
      </c>
      <c r="P257">
        <v>17</v>
      </c>
      <c r="Q257">
        <v>3</v>
      </c>
      <c r="R257">
        <v>11</v>
      </c>
      <c r="S257">
        <v>6</v>
      </c>
      <c r="T257">
        <v>6</v>
      </c>
      <c r="U257">
        <v>-1</v>
      </c>
      <c r="V257">
        <v>3</v>
      </c>
      <c r="W257">
        <v>-4</v>
      </c>
      <c r="X257">
        <v>0</v>
      </c>
      <c r="Y257">
        <v>-2</v>
      </c>
      <c r="Z257" t="s">
        <v>36</v>
      </c>
      <c r="AA257" t="s">
        <v>36</v>
      </c>
      <c r="AB257" t="s">
        <v>36</v>
      </c>
      <c r="AC257" t="s">
        <v>36</v>
      </c>
      <c r="AD257" t="s">
        <v>36</v>
      </c>
      <c r="AE257" t="s">
        <v>99</v>
      </c>
      <c r="AF257" t="s">
        <v>63</v>
      </c>
      <c r="AG257" s="1" t="s">
        <v>1260</v>
      </c>
    </row>
    <row r="258" spans="1:33" ht="15" customHeight="1" x14ac:dyDescent="0.25">
      <c r="A258" t="s">
        <v>1261</v>
      </c>
      <c r="B258" t="s">
        <v>1189</v>
      </c>
      <c r="C258">
        <v>0.25</v>
      </c>
      <c r="D258" t="s">
        <v>34</v>
      </c>
      <c r="E258" t="s">
        <v>1190</v>
      </c>
      <c r="F258" t="s">
        <v>36</v>
      </c>
      <c r="G258" t="s">
        <v>58</v>
      </c>
      <c r="H258">
        <v>10</v>
      </c>
      <c r="I258">
        <v>0</v>
      </c>
      <c r="J258" t="s">
        <v>1262</v>
      </c>
      <c r="K258">
        <v>11</v>
      </c>
      <c r="L258" t="s">
        <v>109</v>
      </c>
      <c r="M258">
        <v>50</v>
      </c>
      <c r="N258">
        <v>16</v>
      </c>
      <c r="O258">
        <v>10</v>
      </c>
      <c r="P258">
        <v>11</v>
      </c>
      <c r="Q258">
        <v>2</v>
      </c>
      <c r="R258">
        <v>10</v>
      </c>
      <c r="S258">
        <v>6</v>
      </c>
      <c r="T258">
        <v>3</v>
      </c>
      <c r="U258">
        <v>0</v>
      </c>
      <c r="V258">
        <v>0</v>
      </c>
      <c r="W258">
        <v>-4</v>
      </c>
      <c r="X258">
        <v>0</v>
      </c>
      <c r="Y258">
        <v>-2</v>
      </c>
      <c r="Z258" t="s">
        <v>631</v>
      </c>
      <c r="AA258" t="s">
        <v>36</v>
      </c>
      <c r="AB258" t="s">
        <v>36</v>
      </c>
      <c r="AC258" t="s">
        <v>36</v>
      </c>
      <c r="AD258" t="s">
        <v>36</v>
      </c>
      <c r="AE258" t="s">
        <v>612</v>
      </c>
      <c r="AF258" t="s">
        <v>63</v>
      </c>
      <c r="AG258" s="1" t="s">
        <v>1263</v>
      </c>
    </row>
    <row r="259" spans="1:33" ht="15" customHeight="1" x14ac:dyDescent="0.25">
      <c r="A259" t="s">
        <v>1264</v>
      </c>
      <c r="B259" t="s">
        <v>1189</v>
      </c>
      <c r="C259">
        <v>0.125</v>
      </c>
      <c r="D259" t="s">
        <v>669</v>
      </c>
      <c r="E259" t="s">
        <v>76</v>
      </c>
      <c r="F259" t="s">
        <v>36</v>
      </c>
      <c r="G259" t="s">
        <v>58</v>
      </c>
      <c r="H259">
        <v>14</v>
      </c>
      <c r="I259">
        <v>2</v>
      </c>
      <c r="J259" t="s">
        <v>1034</v>
      </c>
      <c r="K259">
        <v>5</v>
      </c>
      <c r="L259" t="s">
        <v>176</v>
      </c>
      <c r="M259">
        <v>30</v>
      </c>
      <c r="N259">
        <v>4</v>
      </c>
      <c r="O259">
        <v>15</v>
      </c>
      <c r="P259">
        <v>11</v>
      </c>
      <c r="Q259">
        <v>2</v>
      </c>
      <c r="R259">
        <v>12</v>
      </c>
      <c r="S259">
        <v>5</v>
      </c>
      <c r="T259">
        <v>-3</v>
      </c>
      <c r="U259">
        <v>2</v>
      </c>
      <c r="V259">
        <v>0</v>
      </c>
      <c r="W259">
        <v>-4</v>
      </c>
      <c r="X259">
        <v>1</v>
      </c>
      <c r="Y259">
        <v>-3</v>
      </c>
      <c r="Z259" t="s">
        <v>36</v>
      </c>
      <c r="AA259" t="s">
        <v>36</v>
      </c>
      <c r="AB259" t="s">
        <v>36</v>
      </c>
      <c r="AC259" t="s">
        <v>36</v>
      </c>
      <c r="AD259" t="s">
        <v>36</v>
      </c>
      <c r="AE259" t="s">
        <v>1265</v>
      </c>
      <c r="AF259" t="s">
        <v>63</v>
      </c>
      <c r="AG259" s="1" t="s">
        <v>1666</v>
      </c>
    </row>
    <row r="260" spans="1:33" ht="15" customHeight="1" x14ac:dyDescent="0.25">
      <c r="A260" t="s">
        <v>1267</v>
      </c>
      <c r="B260" t="s">
        <v>1189</v>
      </c>
      <c r="C260">
        <v>0</v>
      </c>
      <c r="D260" t="s">
        <v>669</v>
      </c>
      <c r="E260" t="s">
        <v>1190</v>
      </c>
      <c r="F260" t="s">
        <v>36</v>
      </c>
      <c r="G260" t="s">
        <v>58</v>
      </c>
      <c r="H260">
        <v>11</v>
      </c>
      <c r="I260">
        <v>1</v>
      </c>
      <c r="J260" t="s">
        <v>1215</v>
      </c>
      <c r="K260">
        <v>1</v>
      </c>
      <c r="L260" t="s">
        <v>533</v>
      </c>
      <c r="M260">
        <v>20</v>
      </c>
      <c r="N260">
        <v>1</v>
      </c>
      <c r="O260">
        <v>13</v>
      </c>
      <c r="P260">
        <v>8</v>
      </c>
      <c r="Q260">
        <v>1</v>
      </c>
      <c r="R260">
        <v>8</v>
      </c>
      <c r="S260">
        <v>3</v>
      </c>
      <c r="T260">
        <v>-5</v>
      </c>
      <c r="U260">
        <v>1</v>
      </c>
      <c r="V260">
        <v>-1</v>
      </c>
      <c r="W260">
        <v>-5</v>
      </c>
      <c r="X260">
        <v>-1</v>
      </c>
      <c r="Y260">
        <v>-4</v>
      </c>
      <c r="Z260" t="s">
        <v>1268</v>
      </c>
      <c r="AA260" t="s">
        <v>36</v>
      </c>
      <c r="AB260" t="s">
        <v>36</v>
      </c>
      <c r="AC260" t="s">
        <v>36</v>
      </c>
      <c r="AD260" t="s">
        <v>36</v>
      </c>
      <c r="AE260" t="s">
        <v>1269</v>
      </c>
      <c r="AF260" t="s">
        <v>63</v>
      </c>
      <c r="AG260" s="1" t="s">
        <v>1667</v>
      </c>
    </row>
    <row r="261" spans="1:33" ht="15" customHeight="1" x14ac:dyDescent="0.25">
      <c r="A261" t="s">
        <v>1271</v>
      </c>
      <c r="B261" t="s">
        <v>1189</v>
      </c>
      <c r="C261">
        <v>7</v>
      </c>
      <c r="D261" t="s">
        <v>103</v>
      </c>
      <c r="E261" t="s">
        <v>1190</v>
      </c>
      <c r="F261" t="s">
        <v>36</v>
      </c>
      <c r="G261" t="s">
        <v>58</v>
      </c>
      <c r="H261">
        <v>12</v>
      </c>
      <c r="I261">
        <v>5</v>
      </c>
      <c r="J261" t="s">
        <v>160</v>
      </c>
      <c r="K261">
        <v>168</v>
      </c>
      <c r="L261" t="s">
        <v>761</v>
      </c>
      <c r="M261">
        <v>40</v>
      </c>
      <c r="N261">
        <v>23</v>
      </c>
      <c r="O261">
        <v>14</v>
      </c>
      <c r="P261">
        <v>18</v>
      </c>
      <c r="Q261">
        <v>5</v>
      </c>
      <c r="R261">
        <v>12</v>
      </c>
      <c r="S261">
        <v>7</v>
      </c>
      <c r="T261">
        <v>6</v>
      </c>
      <c r="U261">
        <v>2</v>
      </c>
      <c r="V261">
        <v>4</v>
      </c>
      <c r="W261">
        <v>-3</v>
      </c>
      <c r="X261">
        <v>1</v>
      </c>
      <c r="Y261">
        <v>-2</v>
      </c>
      <c r="Z261" t="s">
        <v>1272</v>
      </c>
      <c r="AA261" t="s">
        <v>36</v>
      </c>
      <c r="AB261" t="s">
        <v>36</v>
      </c>
      <c r="AC261" t="s">
        <v>36</v>
      </c>
      <c r="AD261" t="s">
        <v>36</v>
      </c>
      <c r="AE261" t="s">
        <v>638</v>
      </c>
      <c r="AF261" t="s">
        <v>63</v>
      </c>
      <c r="AG261" s="1" t="s">
        <v>1273</v>
      </c>
    </row>
    <row r="262" spans="1:33" ht="15" customHeight="1" x14ac:dyDescent="0.25">
      <c r="A262" t="s">
        <v>1274</v>
      </c>
      <c r="B262" t="s">
        <v>1189</v>
      </c>
      <c r="C262">
        <v>0.25</v>
      </c>
      <c r="D262" t="s">
        <v>56</v>
      </c>
      <c r="E262" t="s">
        <v>1190</v>
      </c>
      <c r="F262" t="s">
        <v>36</v>
      </c>
      <c r="G262" t="s">
        <v>58</v>
      </c>
      <c r="H262">
        <v>13</v>
      </c>
      <c r="I262">
        <v>0</v>
      </c>
      <c r="J262" t="s">
        <v>1182</v>
      </c>
      <c r="K262">
        <v>15</v>
      </c>
      <c r="L262" t="s">
        <v>78</v>
      </c>
      <c r="M262">
        <v>30</v>
      </c>
      <c r="N262">
        <v>13</v>
      </c>
      <c r="O262">
        <v>10</v>
      </c>
      <c r="P262">
        <v>17</v>
      </c>
      <c r="Q262">
        <v>2</v>
      </c>
      <c r="R262">
        <v>12</v>
      </c>
      <c r="S262">
        <v>5</v>
      </c>
      <c r="T262">
        <v>1</v>
      </c>
      <c r="U262">
        <v>0</v>
      </c>
      <c r="V262">
        <v>3</v>
      </c>
      <c r="W262">
        <v>-4</v>
      </c>
      <c r="X262">
        <v>1</v>
      </c>
      <c r="Y262">
        <v>-3</v>
      </c>
      <c r="Z262" t="s">
        <v>1211</v>
      </c>
      <c r="AA262" t="s">
        <v>87</v>
      </c>
      <c r="AB262" t="s">
        <v>36</v>
      </c>
      <c r="AC262" t="s">
        <v>36</v>
      </c>
      <c r="AD262" t="s">
        <v>36</v>
      </c>
      <c r="AE262" t="s">
        <v>475</v>
      </c>
      <c r="AF262" t="s">
        <v>63</v>
      </c>
      <c r="AG262" s="1" t="s">
        <v>1275</v>
      </c>
    </row>
    <row r="263" spans="1:33" ht="15" customHeight="1" x14ac:dyDescent="0.25">
      <c r="A263" t="s">
        <v>1276</v>
      </c>
      <c r="B263" t="s">
        <v>1189</v>
      </c>
      <c r="C263">
        <v>0.25</v>
      </c>
      <c r="D263" t="s">
        <v>34</v>
      </c>
      <c r="E263" t="s">
        <v>1190</v>
      </c>
      <c r="F263" t="s">
        <v>36</v>
      </c>
      <c r="G263" t="s">
        <v>58</v>
      </c>
      <c r="H263">
        <v>13</v>
      </c>
      <c r="I263">
        <v>3</v>
      </c>
      <c r="J263" t="s">
        <v>1277</v>
      </c>
      <c r="K263">
        <v>22</v>
      </c>
      <c r="L263" t="s">
        <v>1223</v>
      </c>
      <c r="M263">
        <v>10</v>
      </c>
      <c r="N263">
        <v>15</v>
      </c>
      <c r="O263">
        <v>16</v>
      </c>
      <c r="P263">
        <v>11</v>
      </c>
      <c r="Q263">
        <v>2</v>
      </c>
      <c r="R263">
        <v>12</v>
      </c>
      <c r="S263">
        <v>6</v>
      </c>
      <c r="T263">
        <v>2</v>
      </c>
      <c r="U263">
        <v>3</v>
      </c>
      <c r="V263">
        <v>0</v>
      </c>
      <c r="W263">
        <v>-4</v>
      </c>
      <c r="X263">
        <v>1</v>
      </c>
      <c r="Y263">
        <v>-2</v>
      </c>
      <c r="Z263" t="s">
        <v>36</v>
      </c>
      <c r="AA263" t="s">
        <v>36</v>
      </c>
      <c r="AB263" t="s">
        <v>36</v>
      </c>
      <c r="AC263" t="s">
        <v>36</v>
      </c>
      <c r="AD263" t="s">
        <v>36</v>
      </c>
      <c r="AE263" t="s">
        <v>1278</v>
      </c>
      <c r="AF263" t="s">
        <v>63</v>
      </c>
      <c r="AG263" s="1" t="s">
        <v>1279</v>
      </c>
    </row>
    <row r="264" spans="1:33" ht="15" customHeight="1" x14ac:dyDescent="0.25">
      <c r="A264" t="s">
        <v>1280</v>
      </c>
      <c r="B264" t="s">
        <v>1189</v>
      </c>
      <c r="C264">
        <v>2</v>
      </c>
      <c r="D264" t="s">
        <v>34</v>
      </c>
      <c r="E264" t="s">
        <v>1190</v>
      </c>
      <c r="F264" t="s">
        <v>36</v>
      </c>
      <c r="G264" t="s">
        <v>58</v>
      </c>
      <c r="H264">
        <v>13</v>
      </c>
      <c r="I264">
        <v>0</v>
      </c>
      <c r="J264" t="s">
        <v>1281</v>
      </c>
      <c r="K264">
        <v>42</v>
      </c>
      <c r="L264" t="s">
        <v>210</v>
      </c>
      <c r="M264">
        <v>40</v>
      </c>
      <c r="N264">
        <v>17</v>
      </c>
      <c r="O264">
        <v>10</v>
      </c>
      <c r="P264">
        <v>16</v>
      </c>
      <c r="Q264">
        <v>2</v>
      </c>
      <c r="R264">
        <v>7</v>
      </c>
      <c r="S264">
        <v>5</v>
      </c>
      <c r="T264">
        <v>5</v>
      </c>
      <c r="U264">
        <v>0</v>
      </c>
      <c r="V264">
        <v>3</v>
      </c>
      <c r="W264">
        <v>-4</v>
      </c>
      <c r="X264">
        <v>-2</v>
      </c>
      <c r="Y264">
        <v>-3</v>
      </c>
      <c r="Z264" t="s">
        <v>36</v>
      </c>
      <c r="AA264" t="s">
        <v>36</v>
      </c>
      <c r="AB264" t="s">
        <v>36</v>
      </c>
      <c r="AC264" t="s">
        <v>36</v>
      </c>
      <c r="AD264" t="s">
        <v>36</v>
      </c>
      <c r="AE264" t="s">
        <v>1282</v>
      </c>
      <c r="AF264" t="s">
        <v>63</v>
      </c>
      <c r="AG264" s="1" t="s">
        <v>1283</v>
      </c>
    </row>
    <row r="265" spans="1:33" ht="15" customHeight="1" x14ac:dyDescent="0.25">
      <c r="A265" t="s">
        <v>1284</v>
      </c>
      <c r="B265" t="s">
        <v>1189</v>
      </c>
      <c r="C265">
        <v>0.25</v>
      </c>
      <c r="D265" t="s">
        <v>66</v>
      </c>
      <c r="E265" t="s">
        <v>1190</v>
      </c>
      <c r="F265" t="s">
        <v>36</v>
      </c>
      <c r="G265" t="s">
        <v>58</v>
      </c>
      <c r="H265">
        <v>14</v>
      </c>
      <c r="I265">
        <v>2</v>
      </c>
      <c r="J265" t="s">
        <v>1285</v>
      </c>
      <c r="K265">
        <v>9</v>
      </c>
      <c r="L265" t="s">
        <v>144</v>
      </c>
      <c r="M265">
        <v>30</v>
      </c>
      <c r="N265">
        <v>5</v>
      </c>
      <c r="O265">
        <v>14</v>
      </c>
      <c r="P265">
        <v>12</v>
      </c>
      <c r="Q265">
        <v>1</v>
      </c>
      <c r="R265">
        <v>7</v>
      </c>
      <c r="S265">
        <v>3</v>
      </c>
      <c r="T265">
        <v>-3</v>
      </c>
      <c r="U265">
        <v>2</v>
      </c>
      <c r="V265">
        <v>1</v>
      </c>
      <c r="W265">
        <v>-5</v>
      </c>
      <c r="X265">
        <v>-2</v>
      </c>
      <c r="Y265">
        <v>-4</v>
      </c>
      <c r="Z265" t="s">
        <v>36</v>
      </c>
      <c r="AA265" t="s">
        <v>36</v>
      </c>
      <c r="AB265" t="s">
        <v>36</v>
      </c>
      <c r="AC265" t="s">
        <v>36</v>
      </c>
      <c r="AD265" t="s">
        <v>36</v>
      </c>
      <c r="AE265" t="s">
        <v>1286</v>
      </c>
      <c r="AF265" t="s">
        <v>63</v>
      </c>
      <c r="AG265" s="1" t="s">
        <v>1668</v>
      </c>
    </row>
    <row r="266" spans="1:33" ht="15" customHeight="1" x14ac:dyDescent="0.25">
      <c r="A266" t="s">
        <v>1288</v>
      </c>
      <c r="B266" t="s">
        <v>1189</v>
      </c>
      <c r="C266">
        <v>2</v>
      </c>
      <c r="D266" t="s">
        <v>103</v>
      </c>
      <c r="E266" t="s">
        <v>1190</v>
      </c>
      <c r="F266" t="s">
        <v>36</v>
      </c>
      <c r="G266" t="s">
        <v>58</v>
      </c>
      <c r="H266">
        <v>12</v>
      </c>
      <c r="I266">
        <v>2</v>
      </c>
      <c r="J266" t="s">
        <v>1289</v>
      </c>
      <c r="K266">
        <v>60</v>
      </c>
      <c r="L266" t="s">
        <v>318</v>
      </c>
      <c r="M266">
        <v>30</v>
      </c>
      <c r="N266">
        <v>19</v>
      </c>
      <c r="O266">
        <v>14</v>
      </c>
      <c r="P266">
        <v>12</v>
      </c>
      <c r="Q266">
        <v>1</v>
      </c>
      <c r="R266">
        <v>10</v>
      </c>
      <c r="S266">
        <v>3</v>
      </c>
      <c r="T266">
        <v>4</v>
      </c>
      <c r="U266">
        <v>2</v>
      </c>
      <c r="V266">
        <v>1</v>
      </c>
      <c r="W266">
        <v>-5</v>
      </c>
      <c r="X266">
        <v>0</v>
      </c>
      <c r="Y266">
        <v>-4</v>
      </c>
      <c r="Z266" t="s">
        <v>631</v>
      </c>
      <c r="AA266" t="s">
        <v>36</v>
      </c>
      <c r="AB266" t="s">
        <v>36</v>
      </c>
      <c r="AC266" t="s">
        <v>36</v>
      </c>
      <c r="AD266" t="s">
        <v>36</v>
      </c>
      <c r="AE266" t="s">
        <v>1239</v>
      </c>
      <c r="AF266" t="s">
        <v>63</v>
      </c>
      <c r="AG266" s="1" t="s">
        <v>1290</v>
      </c>
    </row>
    <row r="267" spans="1:33" ht="15" customHeight="1" x14ac:dyDescent="0.25">
      <c r="A267" t="s">
        <v>1291</v>
      </c>
      <c r="B267" t="s">
        <v>1189</v>
      </c>
      <c r="C267">
        <v>0.125</v>
      </c>
      <c r="D267" t="s">
        <v>56</v>
      </c>
      <c r="E267" t="s">
        <v>1190</v>
      </c>
      <c r="F267" t="s">
        <v>36</v>
      </c>
      <c r="G267" t="s">
        <v>58</v>
      </c>
      <c r="H267">
        <v>15</v>
      </c>
      <c r="I267">
        <v>1</v>
      </c>
      <c r="J267" t="s">
        <v>500</v>
      </c>
      <c r="K267">
        <v>13</v>
      </c>
      <c r="L267" t="s">
        <v>318</v>
      </c>
      <c r="M267">
        <v>30</v>
      </c>
      <c r="N267">
        <v>13</v>
      </c>
      <c r="O267">
        <v>13</v>
      </c>
      <c r="P267">
        <v>11</v>
      </c>
      <c r="Q267">
        <v>1</v>
      </c>
      <c r="R267">
        <v>9</v>
      </c>
      <c r="S267">
        <v>3</v>
      </c>
      <c r="T267">
        <v>1</v>
      </c>
      <c r="U267">
        <v>1</v>
      </c>
      <c r="V267">
        <v>0</v>
      </c>
      <c r="W267">
        <v>-5</v>
      </c>
      <c r="X267">
        <v>-1</v>
      </c>
      <c r="Y267">
        <v>-4</v>
      </c>
      <c r="Z267" t="s">
        <v>402</v>
      </c>
      <c r="AA267" t="s">
        <v>36</v>
      </c>
      <c r="AB267" t="s">
        <v>36</v>
      </c>
      <c r="AC267" t="s">
        <v>36</v>
      </c>
      <c r="AD267" t="s">
        <v>36</v>
      </c>
      <c r="AE267" t="s">
        <v>1243</v>
      </c>
      <c r="AF267" t="s">
        <v>63</v>
      </c>
      <c r="AG267" s="1" t="s">
        <v>1292</v>
      </c>
    </row>
    <row r="268" spans="1:33" ht="15" customHeight="1" x14ac:dyDescent="0.25">
      <c r="A268" t="s">
        <v>1293</v>
      </c>
      <c r="B268" t="s">
        <v>1189</v>
      </c>
      <c r="C268">
        <v>5</v>
      </c>
      <c r="D268" t="s">
        <v>103</v>
      </c>
      <c r="E268" t="s">
        <v>1190</v>
      </c>
      <c r="F268" t="s">
        <v>36</v>
      </c>
      <c r="G268" t="s">
        <v>58</v>
      </c>
      <c r="H268">
        <v>14</v>
      </c>
      <c r="I268">
        <v>-1</v>
      </c>
      <c r="J268" t="s">
        <v>1294</v>
      </c>
      <c r="K268">
        <v>85</v>
      </c>
      <c r="L268" t="s">
        <v>1295</v>
      </c>
      <c r="M268">
        <v>30</v>
      </c>
      <c r="N268">
        <v>21</v>
      </c>
      <c r="O268">
        <v>9</v>
      </c>
      <c r="P268">
        <v>17</v>
      </c>
      <c r="Q268">
        <v>2</v>
      </c>
      <c r="R268">
        <v>10</v>
      </c>
      <c r="S268">
        <v>7</v>
      </c>
      <c r="T268">
        <v>5</v>
      </c>
      <c r="U268">
        <v>-1</v>
      </c>
      <c r="V268">
        <v>3</v>
      </c>
      <c r="W268">
        <v>-4</v>
      </c>
      <c r="X268">
        <v>0</v>
      </c>
      <c r="Y268">
        <v>-2</v>
      </c>
      <c r="Z268" t="s">
        <v>333</v>
      </c>
      <c r="AA268" t="s">
        <v>36</v>
      </c>
      <c r="AB268" t="s">
        <v>36</v>
      </c>
      <c r="AC268" t="s">
        <v>36</v>
      </c>
      <c r="AD268" t="s">
        <v>36</v>
      </c>
      <c r="AE268" t="s">
        <v>99</v>
      </c>
      <c r="AF268" t="s">
        <v>63</v>
      </c>
      <c r="AG268" s="1" t="s">
        <v>1669</v>
      </c>
    </row>
    <row r="269" spans="1:33" ht="15" customHeight="1" x14ac:dyDescent="0.25">
      <c r="A269" t="s">
        <v>1297</v>
      </c>
      <c r="B269" t="s">
        <v>1189</v>
      </c>
      <c r="C269">
        <v>1</v>
      </c>
      <c r="D269" t="s">
        <v>34</v>
      </c>
      <c r="E269" t="s">
        <v>373</v>
      </c>
      <c r="F269" t="s">
        <v>36</v>
      </c>
      <c r="G269" t="s">
        <v>298</v>
      </c>
      <c r="H269">
        <v>13</v>
      </c>
      <c r="I269">
        <v>3</v>
      </c>
      <c r="J269" t="s">
        <v>658</v>
      </c>
      <c r="K269">
        <v>26</v>
      </c>
      <c r="L269" t="s">
        <v>1298</v>
      </c>
      <c r="M269">
        <v>10</v>
      </c>
      <c r="N269">
        <v>16</v>
      </c>
      <c r="O269">
        <v>17</v>
      </c>
      <c r="P269">
        <v>13</v>
      </c>
      <c r="Q269">
        <v>8</v>
      </c>
      <c r="R269">
        <v>14</v>
      </c>
      <c r="S269">
        <v>10</v>
      </c>
      <c r="T269">
        <v>3</v>
      </c>
      <c r="U269">
        <v>3</v>
      </c>
      <c r="V269">
        <v>1</v>
      </c>
      <c r="W269">
        <v>-1</v>
      </c>
      <c r="X269">
        <v>2</v>
      </c>
      <c r="Y269">
        <v>0</v>
      </c>
      <c r="Z269" t="s">
        <v>293</v>
      </c>
      <c r="AA269" t="s">
        <v>1015</v>
      </c>
      <c r="AB269" t="s">
        <v>36</v>
      </c>
      <c r="AC269" t="s">
        <v>36</v>
      </c>
      <c r="AD269" t="s">
        <v>36</v>
      </c>
      <c r="AE269" t="s">
        <v>89</v>
      </c>
      <c r="AF269" t="s">
        <v>1670</v>
      </c>
      <c r="AG269" s="1" t="s">
        <v>1671</v>
      </c>
    </row>
    <row r="270" spans="1:33" ht="15" customHeight="1" x14ac:dyDescent="0.25">
      <c r="A270" t="s">
        <v>1301</v>
      </c>
      <c r="B270" t="s">
        <v>1189</v>
      </c>
      <c r="C270">
        <v>2</v>
      </c>
      <c r="D270" t="s">
        <v>103</v>
      </c>
      <c r="E270" t="s">
        <v>373</v>
      </c>
      <c r="F270" t="s">
        <v>36</v>
      </c>
      <c r="G270" t="s">
        <v>298</v>
      </c>
      <c r="H270">
        <v>14</v>
      </c>
      <c r="I270">
        <v>6</v>
      </c>
      <c r="J270" t="s">
        <v>1302</v>
      </c>
      <c r="K270">
        <v>42</v>
      </c>
      <c r="L270" t="s">
        <v>990</v>
      </c>
      <c r="M270">
        <v>60</v>
      </c>
      <c r="N270">
        <v>19</v>
      </c>
      <c r="O270">
        <v>18</v>
      </c>
      <c r="P270">
        <v>14</v>
      </c>
      <c r="Q270">
        <v>7</v>
      </c>
      <c r="R270">
        <v>14</v>
      </c>
      <c r="S270">
        <v>10</v>
      </c>
      <c r="T270">
        <v>6</v>
      </c>
      <c r="U270">
        <v>6</v>
      </c>
      <c r="V270">
        <v>2</v>
      </c>
      <c r="W270">
        <v>-2</v>
      </c>
      <c r="X270">
        <v>2</v>
      </c>
      <c r="Y270">
        <v>0</v>
      </c>
      <c r="Z270" t="s">
        <v>319</v>
      </c>
      <c r="AA270" t="s">
        <v>1015</v>
      </c>
      <c r="AB270" t="s">
        <v>36</v>
      </c>
      <c r="AC270" t="s">
        <v>36</v>
      </c>
      <c r="AD270" t="s">
        <v>36</v>
      </c>
      <c r="AE270" t="s">
        <v>1303</v>
      </c>
      <c r="AF270" t="s">
        <v>1672</v>
      </c>
      <c r="AG270" s="1" t="s">
        <v>1673</v>
      </c>
    </row>
    <row r="271" spans="1:33" ht="15" customHeight="1" x14ac:dyDescent="0.25">
      <c r="A271" t="s">
        <v>1306</v>
      </c>
      <c r="B271" t="s">
        <v>1189</v>
      </c>
      <c r="C271">
        <v>0</v>
      </c>
      <c r="D271" t="s">
        <v>66</v>
      </c>
      <c r="E271" t="s">
        <v>1190</v>
      </c>
      <c r="F271" t="s">
        <v>36</v>
      </c>
      <c r="G271" t="s">
        <v>58</v>
      </c>
      <c r="H271">
        <v>13</v>
      </c>
      <c r="I271">
        <v>0</v>
      </c>
      <c r="J271" t="s">
        <v>1256</v>
      </c>
      <c r="K271">
        <v>4</v>
      </c>
      <c r="L271" t="s">
        <v>144</v>
      </c>
      <c r="M271">
        <v>30</v>
      </c>
      <c r="N271">
        <v>8</v>
      </c>
      <c r="O271">
        <v>10</v>
      </c>
      <c r="P271">
        <v>12</v>
      </c>
      <c r="Q271">
        <v>1</v>
      </c>
      <c r="R271">
        <v>7</v>
      </c>
      <c r="S271">
        <v>3</v>
      </c>
      <c r="T271">
        <v>-1</v>
      </c>
      <c r="U271">
        <v>0</v>
      </c>
      <c r="V271">
        <v>1</v>
      </c>
      <c r="W271">
        <v>-5</v>
      </c>
      <c r="X271">
        <v>-2</v>
      </c>
      <c r="Y271">
        <v>-4</v>
      </c>
      <c r="Z271" t="s">
        <v>36</v>
      </c>
      <c r="AA271" t="s">
        <v>98</v>
      </c>
      <c r="AB271" t="s">
        <v>36</v>
      </c>
      <c r="AC271" t="s">
        <v>36</v>
      </c>
      <c r="AD271" t="s">
        <v>36</v>
      </c>
      <c r="AE271" t="s">
        <v>1286</v>
      </c>
      <c r="AF271" t="s">
        <v>63</v>
      </c>
      <c r="AG271" s="1" t="s">
        <v>1307</v>
      </c>
    </row>
    <row r="272" spans="1:33" ht="15" customHeight="1" x14ac:dyDescent="0.25">
      <c r="A272" t="s">
        <v>1308</v>
      </c>
      <c r="B272" t="s">
        <v>1189</v>
      </c>
      <c r="C272">
        <v>0.25</v>
      </c>
      <c r="D272" t="s">
        <v>56</v>
      </c>
      <c r="E272" t="s">
        <v>1190</v>
      </c>
      <c r="F272" t="s">
        <v>36</v>
      </c>
      <c r="G272" t="s">
        <v>58</v>
      </c>
      <c r="H272">
        <v>11</v>
      </c>
      <c r="I272">
        <v>1</v>
      </c>
      <c r="J272" t="s">
        <v>506</v>
      </c>
      <c r="K272">
        <v>18</v>
      </c>
      <c r="L272" t="s">
        <v>318</v>
      </c>
      <c r="M272">
        <v>30</v>
      </c>
      <c r="N272">
        <v>12</v>
      </c>
      <c r="O272">
        <v>13</v>
      </c>
      <c r="P272">
        <v>11</v>
      </c>
      <c r="Q272">
        <v>2</v>
      </c>
      <c r="R272">
        <v>10</v>
      </c>
      <c r="S272">
        <v>3</v>
      </c>
      <c r="T272">
        <v>1</v>
      </c>
      <c r="U272">
        <v>1</v>
      </c>
      <c r="V272">
        <v>0</v>
      </c>
      <c r="W272">
        <v>-4</v>
      </c>
      <c r="X272">
        <v>0</v>
      </c>
      <c r="Y272">
        <v>-4</v>
      </c>
      <c r="Z272" t="s">
        <v>773</v>
      </c>
      <c r="AA272" t="s">
        <v>36</v>
      </c>
      <c r="AB272" t="s">
        <v>36</v>
      </c>
      <c r="AC272" t="s">
        <v>36</v>
      </c>
      <c r="AD272" t="s">
        <v>36</v>
      </c>
      <c r="AE272" t="s">
        <v>1309</v>
      </c>
      <c r="AF272" t="s">
        <v>63</v>
      </c>
      <c r="AG272" s="1" t="s">
        <v>1674</v>
      </c>
    </row>
    <row r="273" spans="1:33" ht="15" customHeight="1" x14ac:dyDescent="0.25">
      <c r="A273" t="s">
        <v>1311</v>
      </c>
      <c r="B273" t="s">
        <v>1189</v>
      </c>
      <c r="C273">
        <v>0.5</v>
      </c>
      <c r="D273" t="s">
        <v>34</v>
      </c>
      <c r="E273" t="s">
        <v>1190</v>
      </c>
      <c r="F273" t="s">
        <v>36</v>
      </c>
      <c r="G273" t="s">
        <v>58</v>
      </c>
      <c r="H273">
        <v>11</v>
      </c>
      <c r="I273">
        <v>1</v>
      </c>
      <c r="J273" t="s">
        <v>108</v>
      </c>
      <c r="K273">
        <v>19</v>
      </c>
      <c r="L273" t="s">
        <v>1229</v>
      </c>
      <c r="M273">
        <v>40</v>
      </c>
      <c r="N273">
        <v>17</v>
      </c>
      <c r="O273">
        <v>13</v>
      </c>
      <c r="P273">
        <v>12</v>
      </c>
      <c r="Q273">
        <v>3</v>
      </c>
      <c r="R273">
        <v>12</v>
      </c>
      <c r="S273">
        <v>6</v>
      </c>
      <c r="T273">
        <v>5</v>
      </c>
      <c r="U273">
        <v>1</v>
      </c>
      <c r="V273">
        <v>1</v>
      </c>
      <c r="W273">
        <v>-4</v>
      </c>
      <c r="X273">
        <v>1</v>
      </c>
      <c r="Y273">
        <v>-2</v>
      </c>
      <c r="Z273" t="s">
        <v>1211</v>
      </c>
      <c r="AA273" t="s">
        <v>36</v>
      </c>
      <c r="AB273" t="s">
        <v>36</v>
      </c>
      <c r="AC273" t="s">
        <v>36</v>
      </c>
      <c r="AD273" t="s">
        <v>36</v>
      </c>
      <c r="AE273" t="s">
        <v>475</v>
      </c>
      <c r="AF273" t="s">
        <v>63</v>
      </c>
      <c r="AG273" s="1" t="s">
        <v>1312</v>
      </c>
    </row>
    <row r="274" spans="1:33" ht="15" customHeight="1" x14ac:dyDescent="0.25">
      <c r="A274" t="s">
        <v>1313</v>
      </c>
      <c r="B274" t="s">
        <v>1189</v>
      </c>
      <c r="C274">
        <v>1</v>
      </c>
      <c r="D274" t="s">
        <v>34</v>
      </c>
      <c r="E274" t="s">
        <v>1190</v>
      </c>
      <c r="F274" t="s">
        <v>36</v>
      </c>
      <c r="G274" t="s">
        <v>58</v>
      </c>
      <c r="H274">
        <v>12</v>
      </c>
      <c r="I274">
        <v>2</v>
      </c>
      <c r="J274" t="s">
        <v>77</v>
      </c>
      <c r="K274">
        <v>45</v>
      </c>
      <c r="L274" t="s">
        <v>109</v>
      </c>
      <c r="M274">
        <v>50</v>
      </c>
      <c r="N274">
        <v>16</v>
      </c>
      <c r="O274">
        <v>14</v>
      </c>
      <c r="P274">
        <v>14</v>
      </c>
      <c r="Q274">
        <v>2</v>
      </c>
      <c r="R274">
        <v>12</v>
      </c>
      <c r="S274">
        <v>7</v>
      </c>
      <c r="T274">
        <v>3</v>
      </c>
      <c r="U274">
        <v>2</v>
      </c>
      <c r="V274">
        <v>2</v>
      </c>
      <c r="W274">
        <v>-4</v>
      </c>
      <c r="X274">
        <v>1</v>
      </c>
      <c r="Y274">
        <v>-2</v>
      </c>
      <c r="Z274" t="s">
        <v>1211</v>
      </c>
      <c r="AA274" t="s">
        <v>36</v>
      </c>
      <c r="AB274" t="s">
        <v>36</v>
      </c>
      <c r="AC274" t="s">
        <v>36</v>
      </c>
      <c r="AD274" t="s">
        <v>36</v>
      </c>
      <c r="AE274" t="s">
        <v>475</v>
      </c>
      <c r="AF274" t="s">
        <v>63</v>
      </c>
      <c r="AG274" s="1" t="s">
        <v>1314</v>
      </c>
    </row>
    <row r="275" spans="1:33" ht="15" customHeight="1" x14ac:dyDescent="0.25">
      <c r="A275" t="s">
        <v>1315</v>
      </c>
      <c r="B275" t="s">
        <v>1189</v>
      </c>
      <c r="C275">
        <v>0.25</v>
      </c>
      <c r="D275" t="s">
        <v>34</v>
      </c>
      <c r="E275" t="s">
        <v>1190</v>
      </c>
      <c r="F275" t="s">
        <v>36</v>
      </c>
      <c r="G275" t="s">
        <v>58</v>
      </c>
      <c r="H275">
        <v>12</v>
      </c>
      <c r="I275">
        <v>1</v>
      </c>
      <c r="J275" t="s">
        <v>108</v>
      </c>
      <c r="K275">
        <v>19</v>
      </c>
      <c r="L275" t="s">
        <v>761</v>
      </c>
      <c r="M275">
        <v>40</v>
      </c>
      <c r="N275">
        <v>15</v>
      </c>
      <c r="O275">
        <v>12</v>
      </c>
      <c r="P275">
        <v>13</v>
      </c>
      <c r="Q275">
        <v>2</v>
      </c>
      <c r="R275">
        <v>10</v>
      </c>
      <c r="S275">
        <v>5</v>
      </c>
      <c r="T275">
        <v>2</v>
      </c>
      <c r="U275">
        <v>3</v>
      </c>
      <c r="V275">
        <v>1</v>
      </c>
      <c r="W275">
        <v>-4</v>
      </c>
      <c r="X275">
        <v>0</v>
      </c>
      <c r="Y275">
        <v>-3</v>
      </c>
      <c r="Z275" t="s">
        <v>36</v>
      </c>
      <c r="AA275" t="s">
        <v>36</v>
      </c>
      <c r="AB275" t="s">
        <v>36</v>
      </c>
      <c r="AC275" t="s">
        <v>36</v>
      </c>
      <c r="AD275" t="s">
        <v>36</v>
      </c>
      <c r="AE275" t="s">
        <v>51</v>
      </c>
      <c r="AF275" t="s">
        <v>63</v>
      </c>
      <c r="AG275" s="1" t="s">
        <v>1316</v>
      </c>
    </row>
    <row r="276" spans="1:33" ht="15" customHeight="1" x14ac:dyDescent="0.25">
      <c r="A276" t="s">
        <v>1317</v>
      </c>
      <c r="B276" t="s">
        <v>1189</v>
      </c>
      <c r="C276">
        <v>1</v>
      </c>
      <c r="D276" t="s">
        <v>34</v>
      </c>
      <c r="E276" t="s">
        <v>1190</v>
      </c>
      <c r="F276" t="s">
        <v>36</v>
      </c>
      <c r="G276" t="s">
        <v>58</v>
      </c>
      <c r="H276">
        <v>11</v>
      </c>
      <c r="I276">
        <v>1</v>
      </c>
      <c r="J276" t="s">
        <v>854</v>
      </c>
      <c r="K276">
        <v>45</v>
      </c>
      <c r="L276" t="s">
        <v>1318</v>
      </c>
      <c r="M276">
        <v>10</v>
      </c>
      <c r="N276">
        <v>17</v>
      </c>
      <c r="O276">
        <v>13</v>
      </c>
      <c r="P276">
        <v>13</v>
      </c>
      <c r="Q276">
        <v>5</v>
      </c>
      <c r="R276">
        <v>10</v>
      </c>
      <c r="S276">
        <v>4</v>
      </c>
      <c r="T276">
        <v>3</v>
      </c>
      <c r="U276">
        <v>1</v>
      </c>
      <c r="V276">
        <v>1</v>
      </c>
      <c r="W276">
        <v>-3</v>
      </c>
      <c r="X276">
        <v>0</v>
      </c>
      <c r="Y276">
        <v>-3</v>
      </c>
      <c r="Z276" t="s">
        <v>454</v>
      </c>
      <c r="AA276" t="s">
        <v>36</v>
      </c>
      <c r="AB276" t="s">
        <v>36</v>
      </c>
      <c r="AC276" t="s">
        <v>36</v>
      </c>
      <c r="AD276" t="s">
        <v>36</v>
      </c>
      <c r="AE276" t="s">
        <v>321</v>
      </c>
      <c r="AF276" t="s">
        <v>63</v>
      </c>
      <c r="AG276" s="1" t="s">
        <v>1319</v>
      </c>
    </row>
    <row r="277" spans="1:33" ht="15" customHeight="1" x14ac:dyDescent="0.25">
      <c r="A277" t="s">
        <v>1320</v>
      </c>
      <c r="B277" t="s">
        <v>1189</v>
      </c>
      <c r="C277">
        <v>0.25</v>
      </c>
      <c r="D277" t="s">
        <v>34</v>
      </c>
      <c r="E277" t="s">
        <v>373</v>
      </c>
      <c r="F277" t="s">
        <v>36</v>
      </c>
      <c r="G277" t="s">
        <v>46</v>
      </c>
      <c r="H277">
        <v>12</v>
      </c>
      <c r="I277">
        <v>2</v>
      </c>
      <c r="J277" t="s">
        <v>108</v>
      </c>
      <c r="K277">
        <v>19</v>
      </c>
      <c r="L277" t="s">
        <v>1321</v>
      </c>
      <c r="M277">
        <v>5</v>
      </c>
      <c r="N277">
        <v>13</v>
      </c>
      <c r="O277">
        <v>15</v>
      </c>
      <c r="P277">
        <v>12</v>
      </c>
      <c r="Q277">
        <v>10</v>
      </c>
      <c r="R277">
        <v>14</v>
      </c>
      <c r="S277">
        <v>10</v>
      </c>
      <c r="T277">
        <v>1</v>
      </c>
      <c r="U277">
        <v>2</v>
      </c>
      <c r="V277">
        <v>1</v>
      </c>
      <c r="W277">
        <v>0</v>
      </c>
      <c r="X277">
        <v>4</v>
      </c>
      <c r="Y277">
        <v>0</v>
      </c>
      <c r="Z277" t="s">
        <v>1176</v>
      </c>
      <c r="AA277" t="s">
        <v>1015</v>
      </c>
      <c r="AB277" t="s">
        <v>36</v>
      </c>
      <c r="AC277" t="s">
        <v>36</v>
      </c>
      <c r="AD277" t="s">
        <v>36</v>
      </c>
      <c r="AE277" t="s">
        <v>443</v>
      </c>
      <c r="AF277" t="s">
        <v>1672</v>
      </c>
      <c r="AG277" s="1" t="s">
        <v>1675</v>
      </c>
    </row>
    <row r="278" spans="1:33" ht="15" customHeight="1" x14ac:dyDescent="0.25">
      <c r="A278" t="s">
        <v>1323</v>
      </c>
      <c r="B278" t="s">
        <v>1189</v>
      </c>
      <c r="C278">
        <v>0.125</v>
      </c>
      <c r="D278" t="s">
        <v>66</v>
      </c>
      <c r="E278" t="s">
        <v>1190</v>
      </c>
      <c r="F278" t="s">
        <v>36</v>
      </c>
      <c r="G278" t="s">
        <v>58</v>
      </c>
      <c r="H278">
        <v>13</v>
      </c>
      <c r="I278">
        <v>3</v>
      </c>
      <c r="J278" t="s">
        <v>552</v>
      </c>
      <c r="K278">
        <v>7</v>
      </c>
      <c r="L278" t="s">
        <v>144</v>
      </c>
      <c r="M278">
        <v>30</v>
      </c>
      <c r="N278">
        <v>7</v>
      </c>
      <c r="O278">
        <v>16</v>
      </c>
      <c r="P278">
        <v>11</v>
      </c>
      <c r="Q278">
        <v>2</v>
      </c>
      <c r="R278">
        <v>10</v>
      </c>
      <c r="S278">
        <v>4</v>
      </c>
      <c r="T278">
        <v>-2</v>
      </c>
      <c r="U278">
        <v>5</v>
      </c>
      <c r="V278">
        <v>0</v>
      </c>
      <c r="W278">
        <v>-4</v>
      </c>
      <c r="X278">
        <v>0</v>
      </c>
      <c r="Y278">
        <v>-3</v>
      </c>
      <c r="Z278" t="s">
        <v>631</v>
      </c>
      <c r="AA278" t="s">
        <v>36</v>
      </c>
      <c r="AB278" t="s">
        <v>36</v>
      </c>
      <c r="AC278" t="s">
        <v>36</v>
      </c>
      <c r="AD278" t="s">
        <v>36</v>
      </c>
      <c r="AE278" t="s">
        <v>612</v>
      </c>
      <c r="AF278" t="s">
        <v>63</v>
      </c>
      <c r="AG278" s="1" t="s">
        <v>1676</v>
      </c>
    </row>
    <row r="279" spans="1:33" ht="15" customHeight="1" x14ac:dyDescent="0.25">
      <c r="A279" t="s">
        <v>1325</v>
      </c>
      <c r="B279" t="s">
        <v>1189</v>
      </c>
      <c r="C279">
        <v>3</v>
      </c>
      <c r="D279" t="s">
        <v>34</v>
      </c>
      <c r="E279" t="s">
        <v>1190</v>
      </c>
      <c r="F279" t="s">
        <v>36</v>
      </c>
      <c r="G279" t="s">
        <v>58</v>
      </c>
      <c r="H279">
        <v>15</v>
      </c>
      <c r="I279">
        <v>1</v>
      </c>
      <c r="J279" t="s">
        <v>833</v>
      </c>
      <c r="K279">
        <v>52</v>
      </c>
      <c r="L279" t="s">
        <v>210</v>
      </c>
      <c r="M279">
        <v>40</v>
      </c>
      <c r="N279">
        <v>16</v>
      </c>
      <c r="O279">
        <v>13</v>
      </c>
      <c r="P279">
        <v>15</v>
      </c>
      <c r="Q279">
        <v>1</v>
      </c>
      <c r="R279">
        <v>9</v>
      </c>
      <c r="S279">
        <v>3</v>
      </c>
      <c r="T279">
        <v>3</v>
      </c>
      <c r="U279">
        <v>1</v>
      </c>
      <c r="V279">
        <v>2</v>
      </c>
      <c r="W279">
        <v>-5</v>
      </c>
      <c r="X279">
        <v>-1</v>
      </c>
      <c r="Y279">
        <v>-4</v>
      </c>
      <c r="Z279" t="s">
        <v>36</v>
      </c>
      <c r="AA279" t="s">
        <v>36</v>
      </c>
      <c r="AB279" t="s">
        <v>36</v>
      </c>
      <c r="AC279" t="s">
        <v>36</v>
      </c>
      <c r="AD279" t="s">
        <v>36</v>
      </c>
      <c r="AE279" t="s">
        <v>1326</v>
      </c>
      <c r="AF279" t="s">
        <v>63</v>
      </c>
      <c r="AG279" s="1" t="s">
        <v>1327</v>
      </c>
    </row>
    <row r="280" spans="1:33" ht="15" customHeight="1" x14ac:dyDescent="0.25">
      <c r="A280" t="s">
        <v>1328</v>
      </c>
      <c r="B280" t="s">
        <v>1189</v>
      </c>
      <c r="C280">
        <v>0.5</v>
      </c>
      <c r="D280" t="s">
        <v>34</v>
      </c>
      <c r="E280" t="s">
        <v>1190</v>
      </c>
      <c r="F280" t="s">
        <v>36</v>
      </c>
      <c r="G280" t="s">
        <v>58</v>
      </c>
      <c r="H280">
        <v>14</v>
      </c>
      <c r="I280">
        <v>1</v>
      </c>
      <c r="J280" t="s">
        <v>1329</v>
      </c>
      <c r="K280">
        <v>16</v>
      </c>
      <c r="L280" t="s">
        <v>1330</v>
      </c>
      <c r="M280">
        <v>5</v>
      </c>
      <c r="N280">
        <v>15</v>
      </c>
      <c r="O280">
        <v>12</v>
      </c>
      <c r="P280">
        <v>11</v>
      </c>
      <c r="Q280">
        <v>2</v>
      </c>
      <c r="R280">
        <v>12</v>
      </c>
      <c r="S280">
        <v>5</v>
      </c>
      <c r="T280">
        <v>2</v>
      </c>
      <c r="U280">
        <v>1</v>
      </c>
      <c r="V280">
        <v>0</v>
      </c>
      <c r="W280">
        <v>-4</v>
      </c>
      <c r="X280">
        <v>1</v>
      </c>
      <c r="Y280">
        <v>-3</v>
      </c>
      <c r="Z280" t="s">
        <v>36</v>
      </c>
      <c r="AA280" t="s">
        <v>36</v>
      </c>
      <c r="AB280" t="s">
        <v>36</v>
      </c>
      <c r="AC280" t="s">
        <v>36</v>
      </c>
      <c r="AD280" t="s">
        <v>36</v>
      </c>
      <c r="AE280" t="s">
        <v>116</v>
      </c>
      <c r="AF280" t="s">
        <v>63</v>
      </c>
      <c r="AG280" s="1" t="s">
        <v>1331</v>
      </c>
    </row>
    <row r="281" spans="1:33" ht="15" customHeight="1" x14ac:dyDescent="0.25">
      <c r="A281" t="s">
        <v>1332</v>
      </c>
      <c r="B281" t="s">
        <v>1189</v>
      </c>
      <c r="C281">
        <v>5</v>
      </c>
      <c r="D281" t="s">
        <v>103</v>
      </c>
      <c r="E281" t="s">
        <v>1190</v>
      </c>
      <c r="F281" t="s">
        <v>36</v>
      </c>
      <c r="G281" t="s">
        <v>58</v>
      </c>
      <c r="H281">
        <v>13</v>
      </c>
      <c r="I281">
        <v>3</v>
      </c>
      <c r="J281" t="s">
        <v>1333</v>
      </c>
      <c r="K281">
        <v>92</v>
      </c>
      <c r="L281" t="s">
        <v>1334</v>
      </c>
      <c r="M281">
        <v>5</v>
      </c>
      <c r="N281">
        <v>23</v>
      </c>
      <c r="O281">
        <v>11</v>
      </c>
      <c r="P281">
        <v>21</v>
      </c>
      <c r="Q281">
        <v>1</v>
      </c>
      <c r="R281">
        <v>10</v>
      </c>
      <c r="S281">
        <v>5</v>
      </c>
      <c r="T281">
        <v>6</v>
      </c>
      <c r="U281">
        <v>0</v>
      </c>
      <c r="V281">
        <v>5</v>
      </c>
      <c r="W281">
        <v>-5</v>
      </c>
      <c r="X281">
        <v>0</v>
      </c>
      <c r="Y281">
        <v>-3</v>
      </c>
      <c r="Z281" t="s">
        <v>1211</v>
      </c>
      <c r="AA281" t="s">
        <v>36</v>
      </c>
      <c r="AB281" t="s">
        <v>36</v>
      </c>
      <c r="AC281" t="s">
        <v>36</v>
      </c>
      <c r="AD281" t="s">
        <v>36</v>
      </c>
      <c r="AE281" t="s">
        <v>1335</v>
      </c>
      <c r="AF281" t="s">
        <v>63</v>
      </c>
      <c r="AG281" s="1" t="s">
        <v>1677</v>
      </c>
    </row>
    <row r="282" spans="1:33" ht="15" customHeight="1" x14ac:dyDescent="0.25">
      <c r="A282" t="s">
        <v>1337</v>
      </c>
      <c r="B282" t="s">
        <v>1189</v>
      </c>
      <c r="C282">
        <v>1</v>
      </c>
      <c r="D282" t="s">
        <v>34</v>
      </c>
      <c r="E282" t="s">
        <v>1190</v>
      </c>
      <c r="F282" t="s">
        <v>36</v>
      </c>
      <c r="G282" t="s">
        <v>58</v>
      </c>
      <c r="H282">
        <v>14</v>
      </c>
      <c r="I282">
        <v>3</v>
      </c>
      <c r="J282" t="s">
        <v>658</v>
      </c>
      <c r="K282">
        <v>26</v>
      </c>
      <c r="L282" t="s">
        <v>144</v>
      </c>
      <c r="M282">
        <v>30</v>
      </c>
      <c r="N282">
        <v>14</v>
      </c>
      <c r="O282">
        <v>16</v>
      </c>
      <c r="P282">
        <v>12</v>
      </c>
      <c r="Q282">
        <v>2</v>
      </c>
      <c r="R282">
        <v>11</v>
      </c>
      <c r="S282">
        <v>4</v>
      </c>
      <c r="T282">
        <v>2</v>
      </c>
      <c r="U282">
        <v>3</v>
      </c>
      <c r="V282">
        <v>1</v>
      </c>
      <c r="W282">
        <v>-4</v>
      </c>
      <c r="X282">
        <v>0</v>
      </c>
      <c r="Y282">
        <v>-3</v>
      </c>
      <c r="Z282" t="s">
        <v>1338</v>
      </c>
      <c r="AA282" t="s">
        <v>36</v>
      </c>
      <c r="AB282" t="s">
        <v>36</v>
      </c>
      <c r="AC282" t="s">
        <v>36</v>
      </c>
      <c r="AD282" t="s">
        <v>36</v>
      </c>
      <c r="AE282" t="s">
        <v>321</v>
      </c>
      <c r="AF282" t="s">
        <v>63</v>
      </c>
      <c r="AG282" s="1" t="s">
        <v>1339</v>
      </c>
    </row>
    <row r="283" spans="1:33" ht="15" customHeight="1" x14ac:dyDescent="0.25">
      <c r="A283" t="s">
        <v>1340</v>
      </c>
      <c r="B283" t="s">
        <v>1189</v>
      </c>
      <c r="C283">
        <v>1</v>
      </c>
      <c r="D283" t="s">
        <v>34</v>
      </c>
      <c r="E283" t="s">
        <v>1190</v>
      </c>
      <c r="F283" t="s">
        <v>36</v>
      </c>
      <c r="G283" t="s">
        <v>58</v>
      </c>
      <c r="H283">
        <v>11</v>
      </c>
      <c r="I283">
        <v>1</v>
      </c>
      <c r="J283" t="s">
        <v>1341</v>
      </c>
      <c r="K283">
        <v>39</v>
      </c>
      <c r="L283" t="s">
        <v>318</v>
      </c>
      <c r="M283">
        <v>30</v>
      </c>
      <c r="N283">
        <v>15</v>
      </c>
      <c r="O283">
        <v>13</v>
      </c>
      <c r="P283">
        <v>13</v>
      </c>
      <c r="Q283">
        <v>2</v>
      </c>
      <c r="R283">
        <v>10</v>
      </c>
      <c r="S283">
        <v>3</v>
      </c>
      <c r="T283">
        <v>2</v>
      </c>
      <c r="U283">
        <v>1</v>
      </c>
      <c r="V283">
        <v>1</v>
      </c>
      <c r="W283">
        <v>-4</v>
      </c>
      <c r="X283">
        <v>0</v>
      </c>
      <c r="Y283">
        <v>-4</v>
      </c>
      <c r="Z283" t="s">
        <v>36</v>
      </c>
      <c r="AA283" t="s">
        <v>36</v>
      </c>
      <c r="AB283" t="s">
        <v>36</v>
      </c>
      <c r="AC283" t="s">
        <v>36</v>
      </c>
      <c r="AD283" t="s">
        <v>36</v>
      </c>
      <c r="AE283" t="s">
        <v>51</v>
      </c>
      <c r="AF283" t="s">
        <v>63</v>
      </c>
      <c r="AG283" s="1" t="s">
        <v>1678</v>
      </c>
    </row>
    <row r="284" spans="1:33" ht="15" customHeight="1" x14ac:dyDescent="0.25">
      <c r="A284" t="s">
        <v>1343</v>
      </c>
      <c r="B284" t="s">
        <v>1189</v>
      </c>
      <c r="C284">
        <v>0.25</v>
      </c>
      <c r="D284" t="s">
        <v>56</v>
      </c>
      <c r="E284" t="s">
        <v>1190</v>
      </c>
      <c r="F284" t="s">
        <v>36</v>
      </c>
      <c r="G284" t="s">
        <v>58</v>
      </c>
      <c r="H284">
        <v>14</v>
      </c>
      <c r="I284">
        <v>4</v>
      </c>
      <c r="J284" t="s">
        <v>133</v>
      </c>
      <c r="K284">
        <v>11</v>
      </c>
      <c r="L284" t="s">
        <v>678</v>
      </c>
      <c r="M284">
        <v>40</v>
      </c>
      <c r="N284">
        <v>10</v>
      </c>
      <c r="O284">
        <v>18</v>
      </c>
      <c r="P284">
        <v>13</v>
      </c>
      <c r="Q284">
        <v>2</v>
      </c>
      <c r="R284">
        <v>10</v>
      </c>
      <c r="S284">
        <v>3</v>
      </c>
      <c r="T284">
        <v>0</v>
      </c>
      <c r="U284">
        <v>4</v>
      </c>
      <c r="V284">
        <v>1</v>
      </c>
      <c r="W284">
        <v>-4</v>
      </c>
      <c r="X284">
        <v>0</v>
      </c>
      <c r="Y284">
        <v>-4</v>
      </c>
      <c r="Z284" t="s">
        <v>631</v>
      </c>
      <c r="AA284" t="s">
        <v>36</v>
      </c>
      <c r="AB284" t="s">
        <v>36</v>
      </c>
      <c r="AC284" t="s">
        <v>36</v>
      </c>
      <c r="AD284" t="s">
        <v>36</v>
      </c>
      <c r="AE284" t="s">
        <v>1239</v>
      </c>
      <c r="AF284" t="s">
        <v>63</v>
      </c>
      <c r="AG284" s="1" t="s">
        <v>1344</v>
      </c>
    </row>
    <row r="285" spans="1:33" ht="15" customHeight="1" x14ac:dyDescent="0.25">
      <c r="A285" t="s">
        <v>1345</v>
      </c>
      <c r="B285" t="s">
        <v>1189</v>
      </c>
      <c r="C285">
        <v>1</v>
      </c>
      <c r="D285" t="s">
        <v>34</v>
      </c>
      <c r="E285" t="s">
        <v>76</v>
      </c>
      <c r="F285" t="s">
        <v>36</v>
      </c>
      <c r="G285" t="s">
        <v>159</v>
      </c>
      <c r="H285">
        <v>10</v>
      </c>
      <c r="I285">
        <v>0</v>
      </c>
      <c r="J285" t="s">
        <v>1346</v>
      </c>
      <c r="K285">
        <v>25</v>
      </c>
      <c r="L285" t="s">
        <v>1223</v>
      </c>
      <c r="M285">
        <v>10</v>
      </c>
      <c r="N285">
        <v>15</v>
      </c>
      <c r="O285">
        <v>10</v>
      </c>
      <c r="P285">
        <v>16</v>
      </c>
      <c r="Q285">
        <v>6</v>
      </c>
      <c r="R285">
        <v>12</v>
      </c>
      <c r="S285">
        <v>7</v>
      </c>
      <c r="T285">
        <v>2</v>
      </c>
      <c r="U285">
        <v>0</v>
      </c>
      <c r="V285">
        <v>3</v>
      </c>
      <c r="W285">
        <v>-2</v>
      </c>
      <c r="X285">
        <v>1</v>
      </c>
      <c r="Y285">
        <v>-2</v>
      </c>
      <c r="Z285" t="s">
        <v>1211</v>
      </c>
      <c r="AA285" t="s">
        <v>520</v>
      </c>
      <c r="AB285" t="s">
        <v>36</v>
      </c>
      <c r="AC285" t="s">
        <v>36</v>
      </c>
      <c r="AD285" t="s">
        <v>36</v>
      </c>
      <c r="AE285" t="s">
        <v>475</v>
      </c>
      <c r="AF285" t="s">
        <v>1516</v>
      </c>
      <c r="AG285" s="1" t="s">
        <v>1679</v>
      </c>
    </row>
    <row r="286" spans="1:33" ht="15" customHeight="1" x14ac:dyDescent="0.25">
      <c r="A286" t="s">
        <v>1348</v>
      </c>
      <c r="B286" t="s">
        <v>1189</v>
      </c>
      <c r="C286">
        <v>0.5</v>
      </c>
      <c r="D286" t="s">
        <v>56</v>
      </c>
      <c r="E286" t="s">
        <v>1190</v>
      </c>
      <c r="F286" t="s">
        <v>36</v>
      </c>
      <c r="G286" t="s">
        <v>58</v>
      </c>
      <c r="H286">
        <v>13</v>
      </c>
      <c r="I286">
        <v>2</v>
      </c>
      <c r="J286" t="s">
        <v>453</v>
      </c>
      <c r="K286">
        <v>22</v>
      </c>
      <c r="L286" t="s">
        <v>1349</v>
      </c>
      <c r="M286">
        <v>10</v>
      </c>
      <c r="N286">
        <v>10</v>
      </c>
      <c r="O286">
        <v>14</v>
      </c>
      <c r="P286">
        <v>10</v>
      </c>
      <c r="Q286">
        <v>1</v>
      </c>
      <c r="R286">
        <v>10</v>
      </c>
      <c r="S286">
        <v>3</v>
      </c>
      <c r="T286">
        <v>0</v>
      </c>
      <c r="U286">
        <v>2</v>
      </c>
      <c r="V286">
        <v>0</v>
      </c>
      <c r="W286">
        <v>-5</v>
      </c>
      <c r="X286">
        <v>0</v>
      </c>
      <c r="Y286">
        <v>-4</v>
      </c>
      <c r="Z286" t="s">
        <v>36</v>
      </c>
      <c r="AA286" t="s">
        <v>36</v>
      </c>
      <c r="AB286" t="s">
        <v>36</v>
      </c>
      <c r="AC286" t="s">
        <v>36</v>
      </c>
      <c r="AD286" t="s">
        <v>36</v>
      </c>
      <c r="AE286" t="s">
        <v>99</v>
      </c>
      <c r="AF286" t="s">
        <v>63</v>
      </c>
      <c r="AG286" s="1" t="s">
        <v>1680</v>
      </c>
    </row>
    <row r="287" spans="1:33" ht="15" customHeight="1" x14ac:dyDescent="0.25">
      <c r="A287" t="s">
        <v>1351</v>
      </c>
      <c r="B287" t="s">
        <v>1189</v>
      </c>
      <c r="C287">
        <v>0.125</v>
      </c>
      <c r="D287" t="s">
        <v>56</v>
      </c>
      <c r="E287" t="s">
        <v>1190</v>
      </c>
      <c r="F287" t="s">
        <v>36</v>
      </c>
      <c r="G287" t="s">
        <v>58</v>
      </c>
      <c r="H287">
        <v>13</v>
      </c>
      <c r="I287">
        <v>3</v>
      </c>
      <c r="J287" t="s">
        <v>390</v>
      </c>
      <c r="K287">
        <v>9</v>
      </c>
      <c r="L287" t="s">
        <v>1229</v>
      </c>
      <c r="M287">
        <v>40</v>
      </c>
      <c r="N287">
        <v>11</v>
      </c>
      <c r="O287">
        <v>17</v>
      </c>
      <c r="P287">
        <v>10</v>
      </c>
      <c r="Q287">
        <v>4</v>
      </c>
      <c r="R287">
        <v>12</v>
      </c>
      <c r="S287">
        <v>5</v>
      </c>
      <c r="T287">
        <v>0</v>
      </c>
      <c r="U287">
        <v>3</v>
      </c>
      <c r="V287">
        <v>0</v>
      </c>
      <c r="W287">
        <v>-3</v>
      </c>
      <c r="X287">
        <v>1</v>
      </c>
      <c r="Y287">
        <v>-3</v>
      </c>
      <c r="Z287" t="s">
        <v>1352</v>
      </c>
      <c r="AA287" t="s">
        <v>36</v>
      </c>
      <c r="AB287" t="s">
        <v>36</v>
      </c>
      <c r="AC287" t="s">
        <v>36</v>
      </c>
      <c r="AD287" t="s">
        <v>36</v>
      </c>
      <c r="AE287" t="s">
        <v>475</v>
      </c>
      <c r="AF287" t="s">
        <v>63</v>
      </c>
      <c r="AG287" s="1" t="s">
        <v>1353</v>
      </c>
    </row>
    <row r="288" spans="1:33" ht="15" customHeight="1" x14ac:dyDescent="0.25">
      <c r="A288" t="s">
        <v>1354</v>
      </c>
      <c r="B288" t="s">
        <v>1189</v>
      </c>
      <c r="C288">
        <v>0.25</v>
      </c>
      <c r="D288" t="s">
        <v>56</v>
      </c>
      <c r="E288" t="s">
        <v>1190</v>
      </c>
      <c r="F288" t="s">
        <v>36</v>
      </c>
      <c r="G288" t="s">
        <v>58</v>
      </c>
      <c r="H288">
        <v>13</v>
      </c>
      <c r="I288">
        <v>3</v>
      </c>
      <c r="J288" t="s">
        <v>133</v>
      </c>
      <c r="K288">
        <v>11</v>
      </c>
      <c r="L288" t="s">
        <v>761</v>
      </c>
      <c r="M288">
        <v>40</v>
      </c>
      <c r="N288">
        <v>12</v>
      </c>
      <c r="O288">
        <v>16</v>
      </c>
      <c r="P288">
        <v>13</v>
      </c>
      <c r="Q288">
        <v>3</v>
      </c>
      <c r="R288">
        <v>12</v>
      </c>
      <c r="S288">
        <v>4</v>
      </c>
      <c r="T288">
        <v>1</v>
      </c>
      <c r="U288">
        <v>3</v>
      </c>
      <c r="V288">
        <v>1</v>
      </c>
      <c r="W288">
        <v>-4</v>
      </c>
      <c r="X288">
        <v>1</v>
      </c>
      <c r="Y288">
        <v>-3</v>
      </c>
      <c r="Z288" t="s">
        <v>1355</v>
      </c>
      <c r="AA288" t="s">
        <v>36</v>
      </c>
      <c r="AB288" t="s">
        <v>36</v>
      </c>
      <c r="AC288" t="s">
        <v>36</v>
      </c>
      <c r="AD288" t="s">
        <v>36</v>
      </c>
      <c r="AE288" t="s">
        <v>1356</v>
      </c>
      <c r="AF288" t="s">
        <v>63</v>
      </c>
      <c r="AG288" s="1" t="s">
        <v>1357</v>
      </c>
    </row>
    <row r="289" spans="1:33" ht="15" customHeight="1" x14ac:dyDescent="0.25">
      <c r="A289" t="s">
        <v>1358</v>
      </c>
      <c r="B289" t="s">
        <v>1189</v>
      </c>
      <c r="C289">
        <v>0</v>
      </c>
      <c r="D289" t="s">
        <v>56</v>
      </c>
      <c r="E289" t="s">
        <v>1190</v>
      </c>
      <c r="F289" t="s">
        <v>36</v>
      </c>
      <c r="G289" t="s">
        <v>58</v>
      </c>
      <c r="H289">
        <v>10</v>
      </c>
      <c r="I289">
        <v>0</v>
      </c>
      <c r="J289" t="s">
        <v>352</v>
      </c>
      <c r="K289">
        <v>4</v>
      </c>
      <c r="L289" t="s">
        <v>1229</v>
      </c>
      <c r="M289">
        <v>40</v>
      </c>
      <c r="N289">
        <v>11</v>
      </c>
      <c r="O289">
        <v>10</v>
      </c>
      <c r="P289">
        <v>11</v>
      </c>
      <c r="Q289">
        <v>2</v>
      </c>
      <c r="R289">
        <v>10</v>
      </c>
      <c r="S289">
        <v>5</v>
      </c>
      <c r="T289">
        <v>2</v>
      </c>
      <c r="U289">
        <v>0</v>
      </c>
      <c r="V289">
        <v>0</v>
      </c>
      <c r="W289">
        <v>-4</v>
      </c>
      <c r="X289">
        <v>0</v>
      </c>
      <c r="Y289">
        <v>-3</v>
      </c>
      <c r="Z289" t="s">
        <v>631</v>
      </c>
      <c r="AA289" t="s">
        <v>36</v>
      </c>
      <c r="AB289" t="s">
        <v>36</v>
      </c>
      <c r="AC289" t="s">
        <v>36</v>
      </c>
      <c r="AD289" t="s">
        <v>36</v>
      </c>
      <c r="AE289" t="s">
        <v>612</v>
      </c>
      <c r="AF289" t="s">
        <v>63</v>
      </c>
      <c r="AG289" s="1" t="s">
        <v>1359</v>
      </c>
    </row>
    <row r="290" spans="1:33" ht="15" customHeight="1" x14ac:dyDescent="0.25">
      <c r="A290" t="s">
        <v>1360</v>
      </c>
      <c r="B290" t="s">
        <v>1189</v>
      </c>
      <c r="C290">
        <v>0</v>
      </c>
      <c r="D290" t="s">
        <v>669</v>
      </c>
      <c r="E290" t="s">
        <v>1190</v>
      </c>
      <c r="F290" t="s">
        <v>36</v>
      </c>
      <c r="G290" t="s">
        <v>58</v>
      </c>
      <c r="H290">
        <v>13</v>
      </c>
      <c r="I290">
        <v>3</v>
      </c>
      <c r="J290" t="s">
        <v>1215</v>
      </c>
      <c r="K290">
        <v>1</v>
      </c>
      <c r="L290" t="s">
        <v>1223</v>
      </c>
      <c r="M290">
        <v>10</v>
      </c>
      <c r="N290">
        <v>5</v>
      </c>
      <c r="O290">
        <v>16</v>
      </c>
      <c r="P290">
        <v>8</v>
      </c>
      <c r="Q290">
        <v>2</v>
      </c>
      <c r="R290">
        <v>14</v>
      </c>
      <c r="S290">
        <v>6</v>
      </c>
      <c r="T290">
        <v>-3</v>
      </c>
      <c r="U290">
        <v>3</v>
      </c>
      <c r="V290">
        <v>-1</v>
      </c>
      <c r="W290">
        <v>-4</v>
      </c>
      <c r="X290">
        <v>2</v>
      </c>
      <c r="Y290">
        <v>-2</v>
      </c>
      <c r="Z290" t="s">
        <v>293</v>
      </c>
      <c r="AA290" t="s">
        <v>36</v>
      </c>
      <c r="AB290" t="s">
        <v>36</v>
      </c>
      <c r="AC290" t="s">
        <v>36</v>
      </c>
      <c r="AD290" t="s">
        <v>36</v>
      </c>
      <c r="AE290" t="s">
        <v>89</v>
      </c>
      <c r="AF290" t="s">
        <v>63</v>
      </c>
      <c r="AG290" s="1" t="s">
        <v>1361</v>
      </c>
    </row>
    <row r="291" spans="1:33" ht="15" customHeight="1" x14ac:dyDescent="0.25">
      <c r="A291" t="s">
        <v>1362</v>
      </c>
      <c r="B291" t="s">
        <v>1189</v>
      </c>
      <c r="C291">
        <v>4</v>
      </c>
      <c r="D291" t="s">
        <v>34</v>
      </c>
      <c r="E291" t="s">
        <v>1190</v>
      </c>
      <c r="F291" t="s">
        <v>36</v>
      </c>
      <c r="G291" t="s">
        <v>58</v>
      </c>
      <c r="H291">
        <v>14</v>
      </c>
      <c r="I291">
        <v>-2</v>
      </c>
      <c r="J291" t="s">
        <v>1363</v>
      </c>
      <c r="K291">
        <v>82</v>
      </c>
      <c r="L291" t="s">
        <v>318</v>
      </c>
      <c r="M291">
        <v>30</v>
      </c>
      <c r="N291">
        <v>21</v>
      </c>
      <c r="O291">
        <v>7</v>
      </c>
      <c r="P291">
        <v>15</v>
      </c>
      <c r="Q291">
        <v>2</v>
      </c>
      <c r="R291">
        <v>12</v>
      </c>
      <c r="S291">
        <v>4</v>
      </c>
      <c r="T291">
        <v>7</v>
      </c>
      <c r="U291">
        <v>-2</v>
      </c>
      <c r="V291">
        <v>2</v>
      </c>
      <c r="W291">
        <v>-4</v>
      </c>
      <c r="X291">
        <v>1</v>
      </c>
      <c r="Y291">
        <v>-3</v>
      </c>
      <c r="Z291" t="s">
        <v>1211</v>
      </c>
      <c r="AA291" t="s">
        <v>36</v>
      </c>
      <c r="AB291" t="s">
        <v>36</v>
      </c>
      <c r="AC291" t="s">
        <v>36</v>
      </c>
      <c r="AD291" t="s">
        <v>36</v>
      </c>
      <c r="AE291" t="s">
        <v>301</v>
      </c>
      <c r="AF291" t="s">
        <v>63</v>
      </c>
      <c r="AG291" s="1" t="s">
        <v>1364</v>
      </c>
    </row>
    <row r="292" spans="1:33" ht="15" customHeight="1" x14ac:dyDescent="0.25">
      <c r="A292" t="s">
        <v>1365</v>
      </c>
      <c r="B292" t="s">
        <v>1189</v>
      </c>
      <c r="C292">
        <v>2</v>
      </c>
      <c r="D292" t="s">
        <v>34</v>
      </c>
      <c r="E292" t="s">
        <v>1190</v>
      </c>
      <c r="F292" t="s">
        <v>36</v>
      </c>
      <c r="G292" t="s">
        <v>58</v>
      </c>
      <c r="H292">
        <v>12</v>
      </c>
      <c r="I292">
        <v>2</v>
      </c>
      <c r="J292" t="s">
        <v>77</v>
      </c>
      <c r="K292">
        <v>45</v>
      </c>
      <c r="L292" t="s">
        <v>1330</v>
      </c>
      <c r="M292">
        <v>5</v>
      </c>
      <c r="N292">
        <v>18</v>
      </c>
      <c r="O292">
        <v>14</v>
      </c>
      <c r="P292">
        <v>15</v>
      </c>
      <c r="Q292">
        <v>1</v>
      </c>
      <c r="R292">
        <v>10</v>
      </c>
      <c r="S292">
        <v>4</v>
      </c>
      <c r="T292">
        <v>4</v>
      </c>
      <c r="U292">
        <v>2</v>
      </c>
      <c r="V292">
        <v>2</v>
      </c>
      <c r="W292">
        <v>-5</v>
      </c>
      <c r="X292">
        <v>0</v>
      </c>
      <c r="Y292">
        <v>-3</v>
      </c>
      <c r="Z292" t="s">
        <v>631</v>
      </c>
      <c r="AA292" t="s">
        <v>36</v>
      </c>
      <c r="AB292" t="s">
        <v>36</v>
      </c>
      <c r="AC292" t="s">
        <v>36</v>
      </c>
      <c r="AD292" t="s">
        <v>36</v>
      </c>
      <c r="AE292" t="s">
        <v>1366</v>
      </c>
      <c r="AF292" t="s">
        <v>63</v>
      </c>
      <c r="AG292" s="1" t="s">
        <v>1681</v>
      </c>
    </row>
    <row r="293" spans="1:33" ht="15" customHeight="1" x14ac:dyDescent="0.25">
      <c r="A293" t="s">
        <v>1368</v>
      </c>
      <c r="B293" t="s">
        <v>1189</v>
      </c>
      <c r="C293">
        <v>0</v>
      </c>
      <c r="D293" t="s">
        <v>56</v>
      </c>
      <c r="E293" t="s">
        <v>1190</v>
      </c>
      <c r="F293" t="s">
        <v>36</v>
      </c>
      <c r="G293" t="s">
        <v>58</v>
      </c>
      <c r="H293">
        <v>11</v>
      </c>
      <c r="I293">
        <v>1</v>
      </c>
      <c r="J293" t="s">
        <v>1369</v>
      </c>
      <c r="K293">
        <v>5</v>
      </c>
      <c r="L293" t="s">
        <v>109</v>
      </c>
      <c r="M293">
        <v>50</v>
      </c>
      <c r="N293">
        <v>11</v>
      </c>
      <c r="O293">
        <v>13</v>
      </c>
      <c r="P293">
        <v>12</v>
      </c>
      <c r="Q293">
        <v>2</v>
      </c>
      <c r="R293">
        <v>12</v>
      </c>
      <c r="S293">
        <v>5</v>
      </c>
      <c r="T293">
        <v>0</v>
      </c>
      <c r="U293">
        <v>1</v>
      </c>
      <c r="V293">
        <v>1</v>
      </c>
      <c r="W293">
        <v>-4</v>
      </c>
      <c r="X293">
        <v>1</v>
      </c>
      <c r="Y293">
        <v>-3</v>
      </c>
      <c r="Z293" t="s">
        <v>1211</v>
      </c>
      <c r="AA293" t="s">
        <v>36</v>
      </c>
      <c r="AB293" t="s">
        <v>36</v>
      </c>
      <c r="AC293" t="s">
        <v>36</v>
      </c>
      <c r="AD293" t="s">
        <v>36</v>
      </c>
      <c r="AE293" t="s">
        <v>475</v>
      </c>
      <c r="AF293" t="s">
        <v>63</v>
      </c>
      <c r="AG293" s="1" t="s">
        <v>1682</v>
      </c>
    </row>
    <row r="294" spans="1:33" ht="15" customHeight="1" x14ac:dyDescent="0.25">
      <c r="A294" t="s">
        <v>1371</v>
      </c>
      <c r="B294" t="s">
        <v>1189</v>
      </c>
      <c r="C294">
        <v>0</v>
      </c>
      <c r="D294" t="s">
        <v>66</v>
      </c>
      <c r="E294" t="s">
        <v>1190</v>
      </c>
      <c r="F294" t="s">
        <v>36</v>
      </c>
      <c r="G294" t="s">
        <v>58</v>
      </c>
      <c r="H294">
        <v>12</v>
      </c>
      <c r="I294">
        <v>2</v>
      </c>
      <c r="J294" t="s">
        <v>1206</v>
      </c>
      <c r="K294">
        <v>3</v>
      </c>
      <c r="L294" t="s">
        <v>210</v>
      </c>
      <c r="M294">
        <v>40</v>
      </c>
      <c r="N294">
        <v>8</v>
      </c>
      <c r="O294">
        <v>15</v>
      </c>
      <c r="P294">
        <v>11</v>
      </c>
      <c r="Q294">
        <v>3</v>
      </c>
      <c r="R294">
        <v>12</v>
      </c>
      <c r="S294">
        <v>6</v>
      </c>
      <c r="T294">
        <v>-1</v>
      </c>
      <c r="U294">
        <v>2</v>
      </c>
      <c r="V294">
        <v>0</v>
      </c>
      <c r="W294">
        <v>-4</v>
      </c>
      <c r="X294">
        <v>1</v>
      </c>
      <c r="Y294">
        <v>-2</v>
      </c>
      <c r="Z294" t="s">
        <v>406</v>
      </c>
      <c r="AA294" t="s">
        <v>36</v>
      </c>
      <c r="AB294" t="s">
        <v>36</v>
      </c>
      <c r="AC294" t="s">
        <v>36</v>
      </c>
      <c r="AD294" t="s">
        <v>36</v>
      </c>
      <c r="AE294" t="s">
        <v>1372</v>
      </c>
      <c r="AF294" t="s">
        <v>63</v>
      </c>
      <c r="AG294" s="1" t="s">
        <v>1373</v>
      </c>
    </row>
    <row r="295" spans="1:33" ht="15" customHeight="1" x14ac:dyDescent="0.25">
      <c r="A295" t="s">
        <v>1374</v>
      </c>
      <c r="B295" t="s">
        <v>1189</v>
      </c>
      <c r="C295">
        <v>3</v>
      </c>
      <c r="D295" t="s">
        <v>103</v>
      </c>
      <c r="E295" t="s">
        <v>1190</v>
      </c>
      <c r="F295" t="s">
        <v>36</v>
      </c>
      <c r="G295" t="s">
        <v>58</v>
      </c>
      <c r="H295">
        <v>12</v>
      </c>
      <c r="I295">
        <v>2</v>
      </c>
      <c r="J295" t="s">
        <v>1202</v>
      </c>
      <c r="K295">
        <v>90</v>
      </c>
      <c r="L295" t="s">
        <v>1334</v>
      </c>
      <c r="M295">
        <v>5</v>
      </c>
      <c r="N295">
        <v>19</v>
      </c>
      <c r="O295">
        <v>14</v>
      </c>
      <c r="P295">
        <v>13</v>
      </c>
      <c r="Q295">
        <v>3</v>
      </c>
      <c r="R295">
        <v>12</v>
      </c>
      <c r="S295">
        <v>7</v>
      </c>
      <c r="T295">
        <v>4</v>
      </c>
      <c r="U295">
        <v>2</v>
      </c>
      <c r="V295">
        <v>1</v>
      </c>
      <c r="W295">
        <v>-4</v>
      </c>
      <c r="X295">
        <v>1</v>
      </c>
      <c r="Y295">
        <v>-2</v>
      </c>
      <c r="Z295" t="s">
        <v>1153</v>
      </c>
      <c r="AA295" t="s">
        <v>36</v>
      </c>
      <c r="AB295" t="s">
        <v>36</v>
      </c>
      <c r="AC295" t="s">
        <v>36</v>
      </c>
      <c r="AD295" t="s">
        <v>36</v>
      </c>
      <c r="AE295" t="s">
        <v>1375</v>
      </c>
      <c r="AF295" t="s">
        <v>63</v>
      </c>
      <c r="AG295" s="1" t="s">
        <v>1376</v>
      </c>
    </row>
    <row r="296" spans="1:33" ht="15" customHeight="1" x14ac:dyDescent="0.25">
      <c r="A296" t="s">
        <v>1377</v>
      </c>
      <c r="B296" t="s">
        <v>1189</v>
      </c>
      <c r="C296">
        <v>1</v>
      </c>
      <c r="D296" t="s">
        <v>34</v>
      </c>
      <c r="E296" t="s">
        <v>1190</v>
      </c>
      <c r="F296" t="s">
        <v>36</v>
      </c>
      <c r="G296" t="s">
        <v>58</v>
      </c>
      <c r="H296">
        <v>12</v>
      </c>
      <c r="I296">
        <v>2</v>
      </c>
      <c r="J296" t="s">
        <v>1277</v>
      </c>
      <c r="K296">
        <v>22</v>
      </c>
      <c r="L296" t="s">
        <v>109</v>
      </c>
      <c r="M296">
        <v>50</v>
      </c>
      <c r="N296">
        <v>17</v>
      </c>
      <c r="O296">
        <v>15</v>
      </c>
      <c r="P296">
        <v>11</v>
      </c>
      <c r="Q296">
        <v>3</v>
      </c>
      <c r="R296">
        <v>12</v>
      </c>
      <c r="S296">
        <v>8</v>
      </c>
      <c r="T296">
        <v>3</v>
      </c>
      <c r="U296">
        <v>2</v>
      </c>
      <c r="V296">
        <v>0</v>
      </c>
      <c r="W296">
        <v>-4</v>
      </c>
      <c r="X296">
        <v>1</v>
      </c>
      <c r="Y296">
        <v>-1</v>
      </c>
      <c r="Z296" t="s">
        <v>1153</v>
      </c>
      <c r="AA296" t="s">
        <v>36</v>
      </c>
      <c r="AB296" t="s">
        <v>36</v>
      </c>
      <c r="AC296" t="s">
        <v>36</v>
      </c>
      <c r="AD296" t="s">
        <v>36</v>
      </c>
      <c r="AE296" t="s">
        <v>475</v>
      </c>
      <c r="AF296" t="s">
        <v>63</v>
      </c>
      <c r="AG296" s="1" t="s">
        <v>1683</v>
      </c>
    </row>
    <row r="297" spans="1:33" ht="15" customHeight="1" x14ac:dyDescent="0.25">
      <c r="A297" t="s">
        <v>1379</v>
      </c>
      <c r="B297" t="s">
        <v>1189</v>
      </c>
      <c r="C297">
        <v>0</v>
      </c>
      <c r="D297" t="s">
        <v>669</v>
      </c>
      <c r="E297" t="s">
        <v>1190</v>
      </c>
      <c r="F297" t="s">
        <v>36</v>
      </c>
      <c r="G297" t="s">
        <v>58</v>
      </c>
      <c r="H297">
        <v>10</v>
      </c>
      <c r="I297">
        <v>0</v>
      </c>
      <c r="J297" t="s">
        <v>1235</v>
      </c>
      <c r="K297">
        <v>2</v>
      </c>
      <c r="L297" t="s">
        <v>202</v>
      </c>
      <c r="M297">
        <v>20</v>
      </c>
      <c r="N297">
        <v>2</v>
      </c>
      <c r="O297">
        <v>11</v>
      </c>
      <c r="P297">
        <v>10</v>
      </c>
      <c r="Q297">
        <v>1</v>
      </c>
      <c r="R297">
        <v>8</v>
      </c>
      <c r="S297">
        <v>3</v>
      </c>
      <c r="T297">
        <v>-4</v>
      </c>
      <c r="U297">
        <v>0</v>
      </c>
      <c r="V297">
        <v>0</v>
      </c>
      <c r="W297">
        <v>-5</v>
      </c>
      <c r="X297">
        <v>-1</v>
      </c>
      <c r="Y297">
        <v>-4</v>
      </c>
      <c r="Z297" t="s">
        <v>36</v>
      </c>
      <c r="AA297" t="s">
        <v>36</v>
      </c>
      <c r="AB297" t="s">
        <v>36</v>
      </c>
      <c r="AC297" t="s">
        <v>36</v>
      </c>
      <c r="AD297" t="s">
        <v>36</v>
      </c>
      <c r="AE297" t="s">
        <v>1380</v>
      </c>
      <c r="AF297" t="s">
        <v>63</v>
      </c>
      <c r="AG297" s="1" t="s">
        <v>1381</v>
      </c>
    </row>
    <row r="298" spans="1:33" ht="15" customHeight="1" x14ac:dyDescent="0.25">
      <c r="A298" t="s">
        <v>1382</v>
      </c>
      <c r="B298" t="s">
        <v>1189</v>
      </c>
      <c r="C298">
        <v>6</v>
      </c>
      <c r="D298" t="s">
        <v>103</v>
      </c>
      <c r="E298" t="s">
        <v>1190</v>
      </c>
      <c r="F298" t="s">
        <v>36</v>
      </c>
      <c r="G298" t="s">
        <v>58</v>
      </c>
      <c r="H298">
        <v>13</v>
      </c>
      <c r="I298">
        <v>2</v>
      </c>
      <c r="J298" t="s">
        <v>1037</v>
      </c>
      <c r="K298">
        <v>126</v>
      </c>
      <c r="L298" t="s">
        <v>109</v>
      </c>
      <c r="M298">
        <v>50</v>
      </c>
      <c r="N298">
        <v>24</v>
      </c>
      <c r="O298">
        <v>9</v>
      </c>
      <c r="P298">
        <v>21</v>
      </c>
      <c r="Q298">
        <v>3</v>
      </c>
      <c r="R298">
        <v>11</v>
      </c>
      <c r="S298">
        <v>6</v>
      </c>
      <c r="T298">
        <v>10</v>
      </c>
      <c r="U298">
        <v>-1</v>
      </c>
      <c r="V298">
        <v>8</v>
      </c>
      <c r="W298">
        <v>-4</v>
      </c>
      <c r="X298">
        <v>0</v>
      </c>
      <c r="Y298">
        <v>-2</v>
      </c>
      <c r="Z298" t="s">
        <v>36</v>
      </c>
      <c r="AA298" t="s">
        <v>36</v>
      </c>
      <c r="AB298" t="s">
        <v>36</v>
      </c>
      <c r="AC298" t="s">
        <v>36</v>
      </c>
      <c r="AD298" t="s">
        <v>36</v>
      </c>
      <c r="AE298" t="s">
        <v>99</v>
      </c>
      <c r="AF298" t="s">
        <v>63</v>
      </c>
      <c r="AG298" s="1" t="s">
        <v>1383</v>
      </c>
    </row>
    <row r="299" spans="1:33" ht="15" customHeight="1" x14ac:dyDescent="0.25">
      <c r="A299" t="s">
        <v>1384</v>
      </c>
      <c r="B299" t="s">
        <v>1189</v>
      </c>
      <c r="C299">
        <v>0.125</v>
      </c>
      <c r="D299" t="s">
        <v>56</v>
      </c>
      <c r="E299" t="s">
        <v>1190</v>
      </c>
      <c r="F299" t="s">
        <v>36</v>
      </c>
      <c r="G299" t="s">
        <v>58</v>
      </c>
      <c r="H299">
        <v>12</v>
      </c>
      <c r="I299">
        <v>2</v>
      </c>
      <c r="J299" t="s">
        <v>1369</v>
      </c>
      <c r="K299">
        <v>5</v>
      </c>
      <c r="L299" t="s">
        <v>210</v>
      </c>
      <c r="M299">
        <v>40</v>
      </c>
      <c r="N299">
        <v>13</v>
      </c>
      <c r="O299">
        <v>14</v>
      </c>
      <c r="P299">
        <v>12</v>
      </c>
      <c r="Q299">
        <v>3</v>
      </c>
      <c r="R299">
        <v>12</v>
      </c>
      <c r="S299">
        <v>7</v>
      </c>
      <c r="T299">
        <v>1</v>
      </c>
      <c r="U299">
        <v>2</v>
      </c>
      <c r="V299">
        <v>1</v>
      </c>
      <c r="W299">
        <v>-4</v>
      </c>
      <c r="X299">
        <v>3</v>
      </c>
      <c r="Y299">
        <v>-2</v>
      </c>
      <c r="Z299" t="s">
        <v>617</v>
      </c>
      <c r="AA299" t="s">
        <v>36</v>
      </c>
      <c r="AB299" t="s">
        <v>36</v>
      </c>
      <c r="AC299" t="s">
        <v>36</v>
      </c>
      <c r="AD299" t="s">
        <v>36</v>
      </c>
      <c r="AE299" t="s">
        <v>212</v>
      </c>
      <c r="AF299" t="s">
        <v>63</v>
      </c>
      <c r="AG299" s="1" t="s">
        <v>1385</v>
      </c>
    </row>
    <row r="300" spans="1:33" ht="15" customHeight="1" x14ac:dyDescent="0.25">
      <c r="A300" t="s">
        <v>1386</v>
      </c>
      <c r="B300" t="s">
        <v>1189</v>
      </c>
      <c r="C300">
        <v>0.125</v>
      </c>
      <c r="D300" t="s">
        <v>56</v>
      </c>
      <c r="E300" t="s">
        <v>1190</v>
      </c>
      <c r="F300" t="s">
        <v>36</v>
      </c>
      <c r="G300" t="s">
        <v>58</v>
      </c>
      <c r="H300">
        <v>10</v>
      </c>
      <c r="I300">
        <v>0</v>
      </c>
      <c r="J300" t="s">
        <v>133</v>
      </c>
      <c r="K300">
        <v>11</v>
      </c>
      <c r="L300" t="s">
        <v>210</v>
      </c>
      <c r="M300">
        <v>40</v>
      </c>
      <c r="N300">
        <v>14</v>
      </c>
      <c r="O300">
        <v>10</v>
      </c>
      <c r="P300">
        <v>13</v>
      </c>
      <c r="Q300">
        <v>2</v>
      </c>
      <c r="R300">
        <v>10</v>
      </c>
      <c r="S300">
        <v>5</v>
      </c>
      <c r="T300">
        <v>4</v>
      </c>
      <c r="U300">
        <v>0</v>
      </c>
      <c r="V300">
        <v>1</v>
      </c>
      <c r="W300">
        <v>-4</v>
      </c>
      <c r="X300">
        <v>0</v>
      </c>
      <c r="Y300">
        <v>-3</v>
      </c>
      <c r="Z300" t="s">
        <v>36</v>
      </c>
      <c r="AA300" t="s">
        <v>36</v>
      </c>
      <c r="AB300" t="s">
        <v>36</v>
      </c>
      <c r="AC300" t="s">
        <v>36</v>
      </c>
      <c r="AD300" t="s">
        <v>36</v>
      </c>
      <c r="AE300" t="s">
        <v>99</v>
      </c>
      <c r="AF300" t="s">
        <v>63</v>
      </c>
      <c r="AG300" s="1" t="s">
        <v>1387</v>
      </c>
    </row>
    <row r="301" spans="1:33" ht="15" customHeight="1" x14ac:dyDescent="0.25">
      <c r="A301" t="s">
        <v>1388</v>
      </c>
      <c r="B301" t="s">
        <v>1189</v>
      </c>
      <c r="C301">
        <v>0</v>
      </c>
      <c r="D301" t="s">
        <v>66</v>
      </c>
      <c r="E301" t="s">
        <v>1190</v>
      </c>
      <c r="F301" t="s">
        <v>36</v>
      </c>
      <c r="G301" t="s">
        <v>58</v>
      </c>
      <c r="H301">
        <v>12</v>
      </c>
      <c r="I301">
        <v>2</v>
      </c>
      <c r="J301" t="s">
        <v>1206</v>
      </c>
      <c r="K301">
        <v>3</v>
      </c>
      <c r="L301" t="s">
        <v>1389</v>
      </c>
      <c r="M301">
        <v>5</v>
      </c>
      <c r="N301">
        <v>4</v>
      </c>
      <c r="O301">
        <v>15</v>
      </c>
      <c r="P301">
        <v>11</v>
      </c>
      <c r="Q301">
        <v>3</v>
      </c>
      <c r="R301">
        <v>10</v>
      </c>
      <c r="S301">
        <v>4</v>
      </c>
      <c r="T301">
        <v>-3</v>
      </c>
      <c r="U301">
        <v>2</v>
      </c>
      <c r="V301">
        <v>0</v>
      </c>
      <c r="W301">
        <v>-4</v>
      </c>
      <c r="X301">
        <v>0</v>
      </c>
      <c r="Y301">
        <v>-3</v>
      </c>
      <c r="Z301" t="s">
        <v>1390</v>
      </c>
      <c r="AA301" t="s">
        <v>36</v>
      </c>
      <c r="AB301" t="s">
        <v>36</v>
      </c>
      <c r="AC301" t="s">
        <v>36</v>
      </c>
      <c r="AD301" t="s">
        <v>36</v>
      </c>
      <c r="AE301" t="s">
        <v>1309</v>
      </c>
      <c r="AF301" t="s">
        <v>63</v>
      </c>
      <c r="AG301" s="1" t="s">
        <v>1391</v>
      </c>
    </row>
    <row r="302" spans="1:33" ht="15" customHeight="1" x14ac:dyDescent="0.25">
      <c r="A302" t="s">
        <v>1392</v>
      </c>
      <c r="B302" t="s">
        <v>1189</v>
      </c>
      <c r="C302">
        <v>0</v>
      </c>
      <c r="D302" t="s">
        <v>669</v>
      </c>
      <c r="E302" t="s">
        <v>1190</v>
      </c>
      <c r="F302" t="s">
        <v>36</v>
      </c>
      <c r="G302" t="s">
        <v>58</v>
      </c>
      <c r="H302">
        <v>11</v>
      </c>
      <c r="I302">
        <v>1</v>
      </c>
      <c r="J302" t="s">
        <v>1215</v>
      </c>
      <c r="K302">
        <v>1</v>
      </c>
      <c r="L302" t="s">
        <v>1321</v>
      </c>
      <c r="M302">
        <v>5</v>
      </c>
      <c r="N302">
        <v>3</v>
      </c>
      <c r="O302">
        <v>13</v>
      </c>
      <c r="P302">
        <v>8</v>
      </c>
      <c r="Q302">
        <v>2</v>
      </c>
      <c r="R302">
        <v>12</v>
      </c>
      <c r="S302">
        <v>7</v>
      </c>
      <c r="T302">
        <v>-4</v>
      </c>
      <c r="U302">
        <v>1</v>
      </c>
      <c r="V302">
        <v>-1</v>
      </c>
      <c r="W302">
        <v>-4</v>
      </c>
      <c r="X302">
        <v>1</v>
      </c>
      <c r="Y302">
        <v>-2</v>
      </c>
      <c r="Z302" t="s">
        <v>211</v>
      </c>
      <c r="AA302" t="s">
        <v>36</v>
      </c>
      <c r="AB302" t="s">
        <v>36</v>
      </c>
      <c r="AC302" t="s">
        <v>36</v>
      </c>
      <c r="AD302" t="s">
        <v>36</v>
      </c>
      <c r="AE302" t="s">
        <v>408</v>
      </c>
      <c r="AF302" t="s">
        <v>63</v>
      </c>
      <c r="AG302" s="1" t="s">
        <v>1684</v>
      </c>
    </row>
    <row r="303" spans="1:33" ht="15" customHeight="1" x14ac:dyDescent="0.25">
      <c r="A303" t="s">
        <v>1394</v>
      </c>
      <c r="B303" t="s">
        <v>1189</v>
      </c>
      <c r="C303">
        <v>0.25</v>
      </c>
      <c r="D303" t="s">
        <v>56</v>
      </c>
      <c r="E303" t="s">
        <v>1190</v>
      </c>
      <c r="F303" t="s">
        <v>36</v>
      </c>
      <c r="G303" t="s">
        <v>58</v>
      </c>
      <c r="H303">
        <v>13</v>
      </c>
      <c r="I303">
        <v>3</v>
      </c>
      <c r="J303" t="s">
        <v>500</v>
      </c>
      <c r="K303">
        <v>13</v>
      </c>
      <c r="L303" t="s">
        <v>1395</v>
      </c>
      <c r="M303">
        <v>50</v>
      </c>
      <c r="N303">
        <v>14</v>
      </c>
      <c r="O303">
        <v>16</v>
      </c>
      <c r="P303">
        <v>10</v>
      </c>
      <c r="Q303">
        <v>3</v>
      </c>
      <c r="R303">
        <v>14</v>
      </c>
      <c r="S303">
        <v>7</v>
      </c>
      <c r="T303">
        <v>2</v>
      </c>
      <c r="U303">
        <v>3</v>
      </c>
      <c r="V303">
        <v>0</v>
      </c>
      <c r="W303">
        <v>-4</v>
      </c>
      <c r="X303">
        <v>2</v>
      </c>
      <c r="Y303">
        <v>-2</v>
      </c>
      <c r="Z303" t="s">
        <v>1338</v>
      </c>
      <c r="AA303" t="s">
        <v>36</v>
      </c>
      <c r="AB303" t="s">
        <v>36</v>
      </c>
      <c r="AC303" t="s">
        <v>36</v>
      </c>
      <c r="AD303" t="s">
        <v>36</v>
      </c>
      <c r="AE303" t="s">
        <v>321</v>
      </c>
      <c r="AF303" t="s">
        <v>63</v>
      </c>
      <c r="AG303" s="1" t="s">
        <v>1396</v>
      </c>
    </row>
    <row r="304" spans="1:33" ht="15" customHeight="1" x14ac:dyDescent="0.25">
      <c r="A304" t="s">
        <v>1397</v>
      </c>
      <c r="B304" t="s">
        <v>1189</v>
      </c>
      <c r="C304">
        <v>0</v>
      </c>
      <c r="D304" t="s">
        <v>669</v>
      </c>
      <c r="E304" t="s">
        <v>1190</v>
      </c>
      <c r="F304" t="s">
        <v>36</v>
      </c>
      <c r="G304" t="s">
        <v>58</v>
      </c>
      <c r="H304">
        <v>13</v>
      </c>
      <c r="I304">
        <v>3</v>
      </c>
      <c r="J304" t="s">
        <v>1215</v>
      </c>
      <c r="K304">
        <v>1</v>
      </c>
      <c r="L304" t="s">
        <v>1330</v>
      </c>
      <c r="M304">
        <v>5</v>
      </c>
      <c r="N304">
        <v>2</v>
      </c>
      <c r="O304">
        <v>16</v>
      </c>
      <c r="P304">
        <v>9</v>
      </c>
      <c r="Q304">
        <v>1</v>
      </c>
      <c r="R304">
        <v>7</v>
      </c>
      <c r="S304">
        <v>2</v>
      </c>
      <c r="T304">
        <v>-4</v>
      </c>
      <c r="U304">
        <v>3</v>
      </c>
      <c r="V304">
        <v>-1</v>
      </c>
      <c r="W304">
        <v>-5</v>
      </c>
      <c r="X304">
        <v>-2</v>
      </c>
      <c r="Y304">
        <v>-4</v>
      </c>
      <c r="Z304" t="s">
        <v>36</v>
      </c>
      <c r="AA304" t="s">
        <v>36</v>
      </c>
      <c r="AB304" t="s">
        <v>36</v>
      </c>
      <c r="AC304" t="s">
        <v>36</v>
      </c>
      <c r="AD304" t="s">
        <v>36</v>
      </c>
      <c r="AE304" t="s">
        <v>717</v>
      </c>
      <c r="AF304" t="s">
        <v>63</v>
      </c>
      <c r="AG304" s="1" t="s">
        <v>1685</v>
      </c>
    </row>
    <row r="305" spans="1:33" ht="15" customHeight="1" x14ac:dyDescent="0.25">
      <c r="A305" t="s">
        <v>1399</v>
      </c>
      <c r="B305" t="s">
        <v>1189</v>
      </c>
      <c r="C305">
        <v>2</v>
      </c>
      <c r="D305" t="s">
        <v>34</v>
      </c>
      <c r="E305" t="s">
        <v>1190</v>
      </c>
      <c r="F305" t="s">
        <v>1191</v>
      </c>
      <c r="G305" t="s">
        <v>58</v>
      </c>
      <c r="H305">
        <v>13</v>
      </c>
      <c r="I305">
        <v>2</v>
      </c>
      <c r="J305" t="s">
        <v>201</v>
      </c>
      <c r="K305">
        <v>68</v>
      </c>
      <c r="L305" t="s">
        <v>1400</v>
      </c>
      <c r="M305">
        <v>20</v>
      </c>
      <c r="N305">
        <v>18</v>
      </c>
      <c r="O305">
        <v>15</v>
      </c>
      <c r="P305">
        <v>16</v>
      </c>
      <c r="Q305">
        <v>2</v>
      </c>
      <c r="R305">
        <v>12</v>
      </c>
      <c r="S305">
        <v>5</v>
      </c>
      <c r="T305">
        <v>4</v>
      </c>
      <c r="U305">
        <v>2</v>
      </c>
      <c r="V305">
        <v>3</v>
      </c>
      <c r="W305">
        <v>-4</v>
      </c>
      <c r="X305">
        <v>1</v>
      </c>
      <c r="Y305">
        <v>-3</v>
      </c>
      <c r="Z305" t="s">
        <v>1153</v>
      </c>
      <c r="AA305" t="s">
        <v>36</v>
      </c>
      <c r="AB305" t="s">
        <v>36</v>
      </c>
      <c r="AC305" t="s">
        <v>36</v>
      </c>
      <c r="AD305" t="s">
        <v>36</v>
      </c>
      <c r="AE305" t="s">
        <v>301</v>
      </c>
      <c r="AF305" t="s">
        <v>63</v>
      </c>
      <c r="AG305" s="1" t="s">
        <v>1401</v>
      </c>
    </row>
    <row r="306" spans="1:33" ht="15" customHeight="1" x14ac:dyDescent="0.25">
      <c r="A306" t="s">
        <v>1402</v>
      </c>
      <c r="B306" t="s">
        <v>1189</v>
      </c>
      <c r="C306">
        <v>2</v>
      </c>
      <c r="D306" t="s">
        <v>34</v>
      </c>
      <c r="E306" t="s">
        <v>1190</v>
      </c>
      <c r="F306" t="s">
        <v>36</v>
      </c>
      <c r="G306" t="s">
        <v>58</v>
      </c>
      <c r="H306">
        <v>12</v>
      </c>
      <c r="I306">
        <v>2</v>
      </c>
      <c r="J306" t="s">
        <v>1281</v>
      </c>
      <c r="K306">
        <v>42</v>
      </c>
      <c r="L306" t="s">
        <v>678</v>
      </c>
      <c r="M306">
        <v>40</v>
      </c>
      <c r="N306">
        <v>20</v>
      </c>
      <c r="O306">
        <v>14</v>
      </c>
      <c r="P306">
        <v>16</v>
      </c>
      <c r="Q306">
        <v>2</v>
      </c>
      <c r="R306">
        <v>13</v>
      </c>
      <c r="S306">
        <v>7</v>
      </c>
      <c r="T306">
        <v>5</v>
      </c>
      <c r="U306">
        <v>2</v>
      </c>
      <c r="V306">
        <v>3</v>
      </c>
      <c r="W306">
        <v>-4</v>
      </c>
      <c r="X306">
        <v>1</v>
      </c>
      <c r="Y306">
        <v>-2</v>
      </c>
      <c r="Z306" t="s">
        <v>406</v>
      </c>
      <c r="AA306" t="s">
        <v>146</v>
      </c>
      <c r="AB306" t="s">
        <v>36</v>
      </c>
      <c r="AC306" t="s">
        <v>36</v>
      </c>
      <c r="AD306" t="s">
        <v>36</v>
      </c>
      <c r="AE306" t="s">
        <v>212</v>
      </c>
      <c r="AF306" t="s">
        <v>63</v>
      </c>
      <c r="AG306" s="1" t="s">
        <v>1403</v>
      </c>
    </row>
    <row r="307" spans="1:33" ht="15" customHeight="1" x14ac:dyDescent="0.25">
      <c r="A307" t="s">
        <v>1404</v>
      </c>
      <c r="B307" t="s">
        <v>1189</v>
      </c>
      <c r="C307">
        <v>0.125</v>
      </c>
      <c r="D307" t="s">
        <v>56</v>
      </c>
      <c r="E307" t="s">
        <v>1190</v>
      </c>
      <c r="F307" t="s">
        <v>36</v>
      </c>
      <c r="G307" t="s">
        <v>58</v>
      </c>
      <c r="H307">
        <v>10</v>
      </c>
      <c r="I307">
        <v>0</v>
      </c>
      <c r="J307" t="s">
        <v>133</v>
      </c>
      <c r="K307">
        <v>11</v>
      </c>
      <c r="L307" t="s">
        <v>210</v>
      </c>
      <c r="M307">
        <v>40</v>
      </c>
      <c r="N307">
        <v>15</v>
      </c>
      <c r="O307">
        <v>10</v>
      </c>
      <c r="P307">
        <v>13</v>
      </c>
      <c r="Q307">
        <v>2</v>
      </c>
      <c r="R307">
        <v>11</v>
      </c>
      <c r="S307">
        <v>7</v>
      </c>
      <c r="T307">
        <v>4</v>
      </c>
      <c r="U307">
        <v>0</v>
      </c>
      <c r="V307">
        <v>1</v>
      </c>
      <c r="W307">
        <v>-4</v>
      </c>
      <c r="X307">
        <v>0</v>
      </c>
      <c r="Y307">
        <v>-2</v>
      </c>
      <c r="Z307" t="s">
        <v>36</v>
      </c>
      <c r="AA307" t="s">
        <v>36</v>
      </c>
      <c r="AB307" t="s">
        <v>36</v>
      </c>
      <c r="AC307" t="s">
        <v>36</v>
      </c>
      <c r="AD307" t="s">
        <v>36</v>
      </c>
      <c r="AE307" t="s">
        <v>99</v>
      </c>
      <c r="AF307" t="s">
        <v>63</v>
      </c>
      <c r="AG307" s="1" t="s">
        <v>1405</v>
      </c>
    </row>
    <row r="308" spans="1:33" ht="15" customHeight="1" x14ac:dyDescent="0.25">
      <c r="A308" t="s">
        <v>1406</v>
      </c>
      <c r="B308" t="s">
        <v>1189</v>
      </c>
      <c r="C308">
        <v>0.25</v>
      </c>
      <c r="D308" t="s">
        <v>56</v>
      </c>
      <c r="E308" t="s">
        <v>1190</v>
      </c>
      <c r="F308" t="s">
        <v>1191</v>
      </c>
      <c r="G308" t="s">
        <v>58</v>
      </c>
      <c r="H308">
        <v>13</v>
      </c>
      <c r="I308">
        <v>2</v>
      </c>
      <c r="J308" t="s">
        <v>500</v>
      </c>
      <c r="K308">
        <v>13</v>
      </c>
      <c r="L308" t="s">
        <v>1223</v>
      </c>
      <c r="M308">
        <v>10</v>
      </c>
      <c r="N308">
        <v>12</v>
      </c>
      <c r="O308">
        <v>15</v>
      </c>
      <c r="P308">
        <v>10</v>
      </c>
      <c r="Q308">
        <v>2</v>
      </c>
      <c r="R308">
        <v>9</v>
      </c>
      <c r="S308">
        <v>5</v>
      </c>
      <c r="T308">
        <v>1</v>
      </c>
      <c r="U308">
        <v>2</v>
      </c>
      <c r="V308">
        <v>0</v>
      </c>
      <c r="W308">
        <v>-4</v>
      </c>
      <c r="X308">
        <v>-1</v>
      </c>
      <c r="Y308">
        <v>-3</v>
      </c>
      <c r="Z308" t="s">
        <v>1407</v>
      </c>
      <c r="AA308" t="s">
        <v>36</v>
      </c>
      <c r="AB308" t="s">
        <v>36</v>
      </c>
      <c r="AC308" t="s">
        <v>36</v>
      </c>
      <c r="AD308" t="s">
        <v>36</v>
      </c>
      <c r="AE308" t="s">
        <v>116</v>
      </c>
      <c r="AF308" t="s">
        <v>63</v>
      </c>
      <c r="AG308" s="1" t="s">
        <v>1686</v>
      </c>
    </row>
    <row r="309" spans="1:33" ht="15" customHeight="1" x14ac:dyDescent="0.25">
      <c r="A309" t="s">
        <v>1409</v>
      </c>
      <c r="B309" t="s">
        <v>1189</v>
      </c>
      <c r="C309">
        <v>0</v>
      </c>
      <c r="D309" t="s">
        <v>669</v>
      </c>
      <c r="E309" t="s">
        <v>1190</v>
      </c>
      <c r="F309" t="s">
        <v>36</v>
      </c>
      <c r="G309" t="s">
        <v>58</v>
      </c>
      <c r="H309">
        <v>10</v>
      </c>
      <c r="I309">
        <v>0</v>
      </c>
      <c r="J309" t="s">
        <v>1215</v>
      </c>
      <c r="K309">
        <v>1</v>
      </c>
      <c r="L309" t="s">
        <v>202</v>
      </c>
      <c r="M309">
        <v>20</v>
      </c>
      <c r="N309">
        <v>2</v>
      </c>
      <c r="O309">
        <v>11</v>
      </c>
      <c r="P309">
        <v>9</v>
      </c>
      <c r="Q309">
        <v>2</v>
      </c>
      <c r="R309">
        <v>10</v>
      </c>
      <c r="S309">
        <v>4</v>
      </c>
      <c r="T309">
        <v>-4</v>
      </c>
      <c r="U309">
        <v>0</v>
      </c>
      <c r="V309">
        <v>-1</v>
      </c>
      <c r="W309">
        <v>-4</v>
      </c>
      <c r="X309">
        <v>0</v>
      </c>
      <c r="Y309">
        <v>-3</v>
      </c>
      <c r="Z309" t="s">
        <v>631</v>
      </c>
      <c r="AA309" t="s">
        <v>36</v>
      </c>
      <c r="AB309" t="s">
        <v>36</v>
      </c>
      <c r="AC309" t="s">
        <v>36</v>
      </c>
      <c r="AD309" t="s">
        <v>36</v>
      </c>
      <c r="AE309" t="s">
        <v>1309</v>
      </c>
      <c r="AF309" t="s">
        <v>63</v>
      </c>
      <c r="AG309" s="1" t="s">
        <v>1687</v>
      </c>
    </row>
    <row r="310" spans="1:33" ht="15" customHeight="1" x14ac:dyDescent="0.25">
      <c r="A310" t="s">
        <v>1411</v>
      </c>
      <c r="B310" t="s">
        <v>1189</v>
      </c>
      <c r="C310">
        <v>0</v>
      </c>
      <c r="D310" t="s">
        <v>669</v>
      </c>
      <c r="E310" t="s">
        <v>1190</v>
      </c>
      <c r="F310" t="s">
        <v>36</v>
      </c>
      <c r="G310" t="s">
        <v>58</v>
      </c>
      <c r="H310">
        <v>12</v>
      </c>
      <c r="I310">
        <v>2</v>
      </c>
      <c r="J310" t="s">
        <v>1235</v>
      </c>
      <c r="K310">
        <v>2</v>
      </c>
      <c r="L310" t="s">
        <v>1349</v>
      </c>
      <c r="M310">
        <v>10</v>
      </c>
      <c r="N310">
        <v>2</v>
      </c>
      <c r="O310">
        <v>14</v>
      </c>
      <c r="P310">
        <v>10</v>
      </c>
      <c r="Q310">
        <v>5</v>
      </c>
      <c r="R310">
        <v>13</v>
      </c>
      <c r="S310">
        <v>6</v>
      </c>
      <c r="T310">
        <v>-4</v>
      </c>
      <c r="U310">
        <v>2</v>
      </c>
      <c r="V310">
        <v>0</v>
      </c>
      <c r="W310">
        <v>-3</v>
      </c>
      <c r="X310">
        <v>1</v>
      </c>
      <c r="Y310">
        <v>-2</v>
      </c>
      <c r="Z310" t="s">
        <v>1211</v>
      </c>
      <c r="AA310" t="s">
        <v>36</v>
      </c>
      <c r="AB310" t="s">
        <v>36</v>
      </c>
      <c r="AC310" t="s">
        <v>36</v>
      </c>
      <c r="AD310" t="s">
        <v>36</v>
      </c>
      <c r="AE310" t="s">
        <v>301</v>
      </c>
      <c r="AF310" t="s">
        <v>63</v>
      </c>
      <c r="AG310" s="1" t="s">
        <v>1412</v>
      </c>
    </row>
    <row r="311" spans="1:33" ht="15" customHeight="1" x14ac:dyDescent="0.25">
      <c r="A311" t="s">
        <v>1413</v>
      </c>
      <c r="B311" t="s">
        <v>1189</v>
      </c>
      <c r="C311">
        <v>0.5</v>
      </c>
      <c r="D311" t="s">
        <v>56</v>
      </c>
      <c r="E311" t="s">
        <v>1190</v>
      </c>
      <c r="F311" t="s">
        <v>36</v>
      </c>
      <c r="G311" t="s">
        <v>58</v>
      </c>
      <c r="H311">
        <v>12</v>
      </c>
      <c r="I311">
        <v>2</v>
      </c>
      <c r="J311" t="s">
        <v>209</v>
      </c>
      <c r="K311">
        <v>22</v>
      </c>
      <c r="L311" t="s">
        <v>1389</v>
      </c>
      <c r="M311">
        <v>5</v>
      </c>
      <c r="N311">
        <v>14</v>
      </c>
      <c r="O311">
        <v>15</v>
      </c>
      <c r="P311">
        <v>13</v>
      </c>
      <c r="Q311">
        <v>1</v>
      </c>
      <c r="R311">
        <v>10</v>
      </c>
      <c r="S311">
        <v>4</v>
      </c>
      <c r="T311">
        <v>2</v>
      </c>
      <c r="U311">
        <v>2</v>
      </c>
      <c r="V311">
        <v>1</v>
      </c>
      <c r="W311">
        <v>-5</v>
      </c>
      <c r="X311">
        <v>0</v>
      </c>
      <c r="Y311">
        <v>-3</v>
      </c>
      <c r="Z311" t="s">
        <v>631</v>
      </c>
      <c r="AA311" t="s">
        <v>36</v>
      </c>
      <c r="AB311" t="s">
        <v>36</v>
      </c>
      <c r="AC311" t="s">
        <v>36</v>
      </c>
      <c r="AD311" t="s">
        <v>36</v>
      </c>
      <c r="AE311" t="s">
        <v>1414</v>
      </c>
      <c r="AF311" t="s">
        <v>63</v>
      </c>
      <c r="AG311" s="1" t="s">
        <v>1688</v>
      </c>
    </row>
    <row r="312" spans="1:33" ht="15" customHeight="1" x14ac:dyDescent="0.25">
      <c r="A312" t="s">
        <v>1416</v>
      </c>
      <c r="B312" t="s">
        <v>1189</v>
      </c>
      <c r="C312">
        <v>2</v>
      </c>
      <c r="D312" t="s">
        <v>34</v>
      </c>
      <c r="E312" t="s">
        <v>1190</v>
      </c>
      <c r="F312" t="s">
        <v>36</v>
      </c>
      <c r="G312" t="s">
        <v>58</v>
      </c>
      <c r="H312">
        <v>13</v>
      </c>
      <c r="I312">
        <v>-1</v>
      </c>
      <c r="J312" t="s">
        <v>77</v>
      </c>
      <c r="K312">
        <v>45</v>
      </c>
      <c r="L312" t="s">
        <v>210</v>
      </c>
      <c r="M312">
        <v>40</v>
      </c>
      <c r="N312">
        <v>21</v>
      </c>
      <c r="O312">
        <v>8</v>
      </c>
      <c r="P312">
        <v>15</v>
      </c>
      <c r="Q312">
        <v>2</v>
      </c>
      <c r="R312">
        <v>12</v>
      </c>
      <c r="S312">
        <v>6</v>
      </c>
      <c r="T312">
        <v>5</v>
      </c>
      <c r="U312">
        <v>-1</v>
      </c>
      <c r="V312">
        <v>2</v>
      </c>
      <c r="W312">
        <v>-4</v>
      </c>
      <c r="X312">
        <v>1</v>
      </c>
      <c r="Y312">
        <v>-2</v>
      </c>
      <c r="Z312" t="s">
        <v>36</v>
      </c>
      <c r="AA312" t="s">
        <v>36</v>
      </c>
      <c r="AB312" t="s">
        <v>36</v>
      </c>
      <c r="AC312" t="s">
        <v>36</v>
      </c>
      <c r="AD312" t="s">
        <v>36</v>
      </c>
      <c r="AE312" t="s">
        <v>116</v>
      </c>
      <c r="AF312" t="s">
        <v>63</v>
      </c>
      <c r="AG312" s="1" t="s">
        <v>1417</v>
      </c>
    </row>
    <row r="313" spans="1:33" ht="15" customHeight="1" x14ac:dyDescent="0.25">
      <c r="A313" t="s">
        <v>1418</v>
      </c>
      <c r="B313" t="s">
        <v>1189</v>
      </c>
      <c r="C313">
        <v>0.25</v>
      </c>
      <c r="D313" t="s">
        <v>34</v>
      </c>
      <c r="E313" t="s">
        <v>1190</v>
      </c>
      <c r="F313" t="s">
        <v>36</v>
      </c>
      <c r="G313" t="s">
        <v>58</v>
      </c>
      <c r="H313">
        <v>11</v>
      </c>
      <c r="I313">
        <v>1</v>
      </c>
      <c r="J313" t="s">
        <v>1238</v>
      </c>
      <c r="K313">
        <v>13</v>
      </c>
      <c r="L313" t="s">
        <v>990</v>
      </c>
      <c r="M313">
        <v>60</v>
      </c>
      <c r="N313">
        <v>16</v>
      </c>
      <c r="O313">
        <v>13</v>
      </c>
      <c r="P313">
        <v>12</v>
      </c>
      <c r="Q313">
        <v>2</v>
      </c>
      <c r="R313">
        <v>11</v>
      </c>
      <c r="S313">
        <v>7</v>
      </c>
      <c r="T313">
        <v>3</v>
      </c>
      <c r="U313">
        <v>1</v>
      </c>
      <c r="V313">
        <v>1</v>
      </c>
      <c r="W313">
        <v>-4</v>
      </c>
      <c r="X313">
        <v>0</v>
      </c>
      <c r="Y313">
        <v>-2</v>
      </c>
      <c r="Z313" t="s">
        <v>36</v>
      </c>
      <c r="AA313" t="s">
        <v>36</v>
      </c>
      <c r="AB313" t="s">
        <v>36</v>
      </c>
      <c r="AC313" t="s">
        <v>36</v>
      </c>
      <c r="AD313" t="s">
        <v>36</v>
      </c>
      <c r="AE313" t="s">
        <v>99</v>
      </c>
      <c r="AF313" t="s">
        <v>63</v>
      </c>
      <c r="AG313" s="1" t="s">
        <v>1419</v>
      </c>
    </row>
    <row r="314" spans="1:33" ht="15" customHeight="1" x14ac:dyDescent="0.25">
      <c r="A314" t="s">
        <v>1420</v>
      </c>
      <c r="B314" t="s">
        <v>1189</v>
      </c>
      <c r="C314">
        <v>2</v>
      </c>
      <c r="D314" t="s">
        <v>34</v>
      </c>
      <c r="E314" t="s">
        <v>1190</v>
      </c>
      <c r="F314" t="s">
        <v>36</v>
      </c>
      <c r="G314" t="s">
        <v>58</v>
      </c>
      <c r="H314">
        <v>13</v>
      </c>
      <c r="I314">
        <v>3</v>
      </c>
      <c r="J314" t="s">
        <v>833</v>
      </c>
      <c r="K314">
        <v>52</v>
      </c>
      <c r="L314" t="s">
        <v>210</v>
      </c>
      <c r="M314">
        <v>40</v>
      </c>
      <c r="N314">
        <v>18</v>
      </c>
      <c r="O314">
        <v>17</v>
      </c>
      <c r="P314">
        <v>15</v>
      </c>
      <c r="Q314">
        <v>3</v>
      </c>
      <c r="R314">
        <v>12</v>
      </c>
      <c r="S314">
        <v>8</v>
      </c>
      <c r="T314">
        <v>6</v>
      </c>
      <c r="U314">
        <v>5</v>
      </c>
      <c r="V314">
        <v>2</v>
      </c>
      <c r="W314">
        <v>-4</v>
      </c>
      <c r="X314">
        <v>1</v>
      </c>
      <c r="Y314">
        <v>-1</v>
      </c>
      <c r="Z314" t="s">
        <v>1421</v>
      </c>
      <c r="AA314" t="s">
        <v>36</v>
      </c>
      <c r="AB314" t="s">
        <v>36</v>
      </c>
      <c r="AC314" t="s">
        <v>36</v>
      </c>
      <c r="AD314" t="s">
        <v>36</v>
      </c>
      <c r="AE314" t="s">
        <v>212</v>
      </c>
      <c r="AF314" t="s">
        <v>63</v>
      </c>
      <c r="AG314" s="1" t="s">
        <v>1422</v>
      </c>
    </row>
    <row r="315" spans="1:33" ht="15" customHeight="1" x14ac:dyDescent="0.25">
      <c r="A315" t="s">
        <v>1423</v>
      </c>
      <c r="B315" t="s">
        <v>1189</v>
      </c>
      <c r="C315">
        <v>0</v>
      </c>
      <c r="D315" t="s">
        <v>669</v>
      </c>
      <c r="E315" t="s">
        <v>1190</v>
      </c>
      <c r="F315" t="s">
        <v>36</v>
      </c>
      <c r="G315" t="s">
        <v>58</v>
      </c>
      <c r="H315">
        <v>11</v>
      </c>
      <c r="I315">
        <v>0</v>
      </c>
      <c r="J315" t="s">
        <v>1215</v>
      </c>
      <c r="K315">
        <v>1</v>
      </c>
      <c r="L315" t="s">
        <v>73</v>
      </c>
      <c r="M315">
        <v>10</v>
      </c>
      <c r="N315">
        <v>2</v>
      </c>
      <c r="O315">
        <v>11</v>
      </c>
      <c r="P315">
        <v>8</v>
      </c>
      <c r="Q315">
        <v>1</v>
      </c>
      <c r="R315">
        <v>8</v>
      </c>
      <c r="S315">
        <v>2</v>
      </c>
      <c r="T315">
        <v>-4</v>
      </c>
      <c r="U315">
        <v>0</v>
      </c>
      <c r="V315">
        <v>-1</v>
      </c>
      <c r="W315">
        <v>-5</v>
      </c>
      <c r="X315">
        <v>-1</v>
      </c>
      <c r="Y315">
        <v>-4</v>
      </c>
      <c r="Z315" t="s">
        <v>36</v>
      </c>
      <c r="AA315" t="s">
        <v>36</v>
      </c>
      <c r="AB315" t="s">
        <v>36</v>
      </c>
      <c r="AC315" t="s">
        <v>36</v>
      </c>
      <c r="AD315" t="s">
        <v>36</v>
      </c>
      <c r="AE315" t="s">
        <v>1424</v>
      </c>
      <c r="AF315" t="s">
        <v>63</v>
      </c>
      <c r="AG315" s="1" t="s">
        <v>1425</v>
      </c>
    </row>
    <row r="316" spans="1:33" ht="15" customHeight="1" x14ac:dyDescent="0.25">
      <c r="A316" t="s">
        <v>1426</v>
      </c>
      <c r="B316" t="s">
        <v>1189</v>
      </c>
      <c r="C316">
        <v>0</v>
      </c>
      <c r="D316" t="s">
        <v>669</v>
      </c>
      <c r="E316" t="s">
        <v>1190</v>
      </c>
      <c r="F316" t="s">
        <v>36</v>
      </c>
      <c r="G316" t="s">
        <v>58</v>
      </c>
      <c r="H316">
        <v>12</v>
      </c>
      <c r="I316">
        <v>1</v>
      </c>
      <c r="J316" t="s">
        <v>1215</v>
      </c>
      <c r="K316">
        <v>1</v>
      </c>
      <c r="L316" t="s">
        <v>1427</v>
      </c>
      <c r="M316">
        <v>5</v>
      </c>
      <c r="N316">
        <v>1</v>
      </c>
      <c r="O316">
        <v>12</v>
      </c>
      <c r="P316">
        <v>8</v>
      </c>
      <c r="Q316">
        <v>1</v>
      </c>
      <c r="R316">
        <v>10</v>
      </c>
      <c r="S316">
        <v>2</v>
      </c>
      <c r="T316">
        <v>-5</v>
      </c>
      <c r="U316">
        <v>1</v>
      </c>
      <c r="V316">
        <v>-1</v>
      </c>
      <c r="W316">
        <v>-5</v>
      </c>
      <c r="X316">
        <v>0</v>
      </c>
      <c r="Y316">
        <v>-4</v>
      </c>
      <c r="Z316" t="s">
        <v>1428</v>
      </c>
      <c r="AA316" t="s">
        <v>36</v>
      </c>
      <c r="AB316" t="s">
        <v>36</v>
      </c>
      <c r="AC316" t="s">
        <v>36</v>
      </c>
      <c r="AD316" t="s">
        <v>36</v>
      </c>
      <c r="AE316" t="s">
        <v>398</v>
      </c>
      <c r="AF316" t="s">
        <v>63</v>
      </c>
      <c r="AG316" s="1" t="s">
        <v>1429</v>
      </c>
    </row>
    <row r="317" spans="1:33" ht="15" customHeight="1" x14ac:dyDescent="0.25">
      <c r="A317" t="s">
        <v>1430</v>
      </c>
      <c r="B317" t="s">
        <v>1189</v>
      </c>
      <c r="C317">
        <v>0</v>
      </c>
      <c r="D317" t="s">
        <v>669</v>
      </c>
      <c r="E317" t="s">
        <v>1190</v>
      </c>
      <c r="F317" t="s">
        <v>36</v>
      </c>
      <c r="G317" t="s">
        <v>58</v>
      </c>
      <c r="H317">
        <v>12</v>
      </c>
      <c r="I317">
        <v>2</v>
      </c>
      <c r="J317" t="s">
        <v>1215</v>
      </c>
      <c r="K317">
        <v>1</v>
      </c>
      <c r="L317" t="s">
        <v>202</v>
      </c>
      <c r="M317">
        <v>20</v>
      </c>
      <c r="N317">
        <v>2</v>
      </c>
      <c r="O317">
        <v>14</v>
      </c>
      <c r="P317">
        <v>8</v>
      </c>
      <c r="Q317">
        <v>1</v>
      </c>
      <c r="R317">
        <v>10</v>
      </c>
      <c r="S317">
        <v>2</v>
      </c>
      <c r="T317">
        <v>-4</v>
      </c>
      <c r="U317">
        <v>2</v>
      </c>
      <c r="V317">
        <v>-1</v>
      </c>
      <c r="W317">
        <v>-5</v>
      </c>
      <c r="X317">
        <v>0</v>
      </c>
      <c r="Y317">
        <v>-4</v>
      </c>
      <c r="Z317" t="s">
        <v>509</v>
      </c>
      <c r="AA317" t="s">
        <v>36</v>
      </c>
      <c r="AB317" t="s">
        <v>36</v>
      </c>
      <c r="AC317" t="s">
        <v>36</v>
      </c>
      <c r="AD317" t="s">
        <v>36</v>
      </c>
      <c r="AE317" t="s">
        <v>1431</v>
      </c>
      <c r="AF317" t="s">
        <v>63</v>
      </c>
      <c r="AG317" s="1" t="s">
        <v>1432</v>
      </c>
    </row>
    <row r="318" spans="1:33" ht="15" customHeight="1" x14ac:dyDescent="0.25">
      <c r="A318" t="s">
        <v>1433</v>
      </c>
      <c r="B318" t="s">
        <v>1189</v>
      </c>
      <c r="C318">
        <v>0.25</v>
      </c>
      <c r="D318" t="s">
        <v>34</v>
      </c>
      <c r="E318" t="s">
        <v>1434</v>
      </c>
      <c r="F318" t="s">
        <v>36</v>
      </c>
      <c r="G318" t="s">
        <v>58</v>
      </c>
      <c r="H318">
        <v>12</v>
      </c>
      <c r="I318">
        <v>2</v>
      </c>
      <c r="J318" t="s">
        <v>1262</v>
      </c>
      <c r="K318">
        <v>11</v>
      </c>
      <c r="L318" t="s">
        <v>1216</v>
      </c>
      <c r="M318">
        <v>5</v>
      </c>
      <c r="N318">
        <v>5</v>
      </c>
      <c r="O318">
        <v>15</v>
      </c>
      <c r="P318">
        <v>10</v>
      </c>
      <c r="Q318">
        <v>2</v>
      </c>
      <c r="R318">
        <v>12</v>
      </c>
      <c r="S318">
        <v>4</v>
      </c>
      <c r="T318">
        <v>-3</v>
      </c>
      <c r="U318">
        <v>2</v>
      </c>
      <c r="V318">
        <v>0</v>
      </c>
      <c r="W318">
        <v>-4</v>
      </c>
      <c r="X318">
        <v>1</v>
      </c>
      <c r="Y318">
        <v>-3</v>
      </c>
      <c r="Z318" t="s">
        <v>36</v>
      </c>
      <c r="AA318" t="s">
        <v>326</v>
      </c>
      <c r="AB318" t="s">
        <v>36</v>
      </c>
      <c r="AC318" t="s">
        <v>1435</v>
      </c>
      <c r="AD318" t="s">
        <v>36</v>
      </c>
      <c r="AE318" t="s">
        <v>1217</v>
      </c>
      <c r="AF318" t="s">
        <v>63</v>
      </c>
      <c r="AG318" s="1" t="s">
        <v>1689</v>
      </c>
    </row>
    <row r="319" spans="1:33" ht="15" customHeight="1" x14ac:dyDescent="0.25">
      <c r="A319" t="s">
        <v>1437</v>
      </c>
      <c r="B319" t="s">
        <v>1189</v>
      </c>
      <c r="C319">
        <v>0.5</v>
      </c>
      <c r="D319" t="s">
        <v>56</v>
      </c>
      <c r="E319" t="s">
        <v>1434</v>
      </c>
      <c r="F319" t="s">
        <v>36</v>
      </c>
      <c r="G319" t="s">
        <v>58</v>
      </c>
      <c r="H319">
        <v>11</v>
      </c>
      <c r="I319">
        <v>1</v>
      </c>
      <c r="J319" t="s">
        <v>1198</v>
      </c>
      <c r="K319">
        <v>19</v>
      </c>
      <c r="L319" t="s">
        <v>1690</v>
      </c>
      <c r="M319">
        <v>20</v>
      </c>
      <c r="N319">
        <v>3</v>
      </c>
      <c r="O319">
        <v>13</v>
      </c>
      <c r="P319">
        <v>14</v>
      </c>
      <c r="Q319">
        <v>1</v>
      </c>
      <c r="R319">
        <v>7</v>
      </c>
      <c r="S319">
        <v>1</v>
      </c>
      <c r="T319">
        <v>-4</v>
      </c>
      <c r="U319">
        <v>1</v>
      </c>
      <c r="V319">
        <v>2</v>
      </c>
      <c r="W319">
        <v>-5</v>
      </c>
      <c r="X319">
        <v>-2</v>
      </c>
      <c r="Y319">
        <v>-5</v>
      </c>
      <c r="Z319" t="s">
        <v>36</v>
      </c>
      <c r="AA319" t="s">
        <v>326</v>
      </c>
      <c r="AB319" t="s">
        <v>36</v>
      </c>
      <c r="AC319" t="s">
        <v>1435</v>
      </c>
      <c r="AD319" t="s">
        <v>36</v>
      </c>
      <c r="AE319" t="s">
        <v>1286</v>
      </c>
      <c r="AF319" t="s">
        <v>63</v>
      </c>
      <c r="AG319" s="1" t="s">
        <v>1691</v>
      </c>
    </row>
    <row r="320" spans="1:33" ht="15" customHeight="1" x14ac:dyDescent="0.25">
      <c r="A320" t="s">
        <v>1440</v>
      </c>
      <c r="B320" t="s">
        <v>1189</v>
      </c>
      <c r="C320">
        <v>1</v>
      </c>
      <c r="D320" t="s">
        <v>56</v>
      </c>
      <c r="E320" t="s">
        <v>1434</v>
      </c>
      <c r="F320" t="s">
        <v>36</v>
      </c>
      <c r="G320" t="s">
        <v>58</v>
      </c>
      <c r="H320">
        <v>13</v>
      </c>
      <c r="I320">
        <v>3</v>
      </c>
      <c r="J320" t="s">
        <v>1441</v>
      </c>
      <c r="K320">
        <v>28</v>
      </c>
      <c r="L320" t="s">
        <v>1330</v>
      </c>
      <c r="M320">
        <v>5</v>
      </c>
      <c r="N320">
        <v>13</v>
      </c>
      <c r="O320">
        <v>16</v>
      </c>
      <c r="P320">
        <v>9</v>
      </c>
      <c r="Q320">
        <v>1</v>
      </c>
      <c r="R320">
        <v>7</v>
      </c>
      <c r="S320">
        <v>2</v>
      </c>
      <c r="T320">
        <v>1</v>
      </c>
      <c r="U320">
        <v>3</v>
      </c>
      <c r="V320">
        <v>-1</v>
      </c>
      <c r="W320">
        <v>-5</v>
      </c>
      <c r="X320">
        <v>-2</v>
      </c>
      <c r="Y320">
        <v>-4</v>
      </c>
      <c r="Z320" t="s">
        <v>36</v>
      </c>
      <c r="AA320" t="s">
        <v>326</v>
      </c>
      <c r="AB320" t="s">
        <v>36</v>
      </c>
      <c r="AC320" t="s">
        <v>1435</v>
      </c>
      <c r="AD320" t="s">
        <v>36</v>
      </c>
      <c r="AE320" t="s">
        <v>717</v>
      </c>
      <c r="AF320" t="s">
        <v>63</v>
      </c>
      <c r="AG320" s="1" t="s">
        <v>1692</v>
      </c>
    </row>
    <row r="321" spans="1:33" ht="15" customHeight="1" x14ac:dyDescent="0.25">
      <c r="A321" t="s">
        <v>1443</v>
      </c>
      <c r="B321" t="s">
        <v>1189</v>
      </c>
      <c r="C321">
        <v>0.25</v>
      </c>
      <c r="D321" t="s">
        <v>56</v>
      </c>
      <c r="E321" t="s">
        <v>1434</v>
      </c>
      <c r="F321" t="s">
        <v>36</v>
      </c>
      <c r="G321" t="s">
        <v>58</v>
      </c>
      <c r="H321">
        <v>10</v>
      </c>
      <c r="I321">
        <v>0</v>
      </c>
      <c r="J321" t="s">
        <v>1444</v>
      </c>
      <c r="K321">
        <v>14</v>
      </c>
      <c r="L321" t="s">
        <v>144</v>
      </c>
      <c r="M321">
        <v>30</v>
      </c>
      <c r="N321">
        <v>9</v>
      </c>
      <c r="O321">
        <v>11</v>
      </c>
      <c r="P321">
        <v>9</v>
      </c>
      <c r="Q321">
        <v>2</v>
      </c>
      <c r="R321">
        <v>10</v>
      </c>
      <c r="S321">
        <v>3</v>
      </c>
      <c r="T321">
        <v>-1</v>
      </c>
      <c r="U321">
        <v>2</v>
      </c>
      <c r="V321">
        <v>-1</v>
      </c>
      <c r="W321">
        <v>-4</v>
      </c>
      <c r="X321">
        <v>0</v>
      </c>
      <c r="Y321">
        <v>-4</v>
      </c>
      <c r="Z321" t="s">
        <v>36</v>
      </c>
      <c r="AA321" t="s">
        <v>326</v>
      </c>
      <c r="AB321" t="s">
        <v>36</v>
      </c>
      <c r="AC321" t="s">
        <v>1435</v>
      </c>
      <c r="AD321" t="s">
        <v>36</v>
      </c>
      <c r="AE321" t="s">
        <v>1431</v>
      </c>
      <c r="AF321" t="s">
        <v>63</v>
      </c>
      <c r="AG321" s="1" t="s">
        <v>1693</v>
      </c>
    </row>
    <row r="322" spans="1:33" ht="15" customHeight="1" x14ac:dyDescent="0.25">
      <c r="A322" t="s">
        <v>1446</v>
      </c>
      <c r="B322" t="s">
        <v>1189</v>
      </c>
      <c r="C322">
        <v>0.25</v>
      </c>
      <c r="D322" t="s">
        <v>56</v>
      </c>
      <c r="E322" t="s">
        <v>1434</v>
      </c>
      <c r="F322" t="s">
        <v>36</v>
      </c>
      <c r="G322" t="s">
        <v>58</v>
      </c>
      <c r="H322">
        <v>12</v>
      </c>
      <c r="I322">
        <v>2</v>
      </c>
      <c r="J322" t="s">
        <v>133</v>
      </c>
      <c r="K322">
        <v>11</v>
      </c>
      <c r="L322" t="s">
        <v>1349</v>
      </c>
      <c r="M322">
        <v>10</v>
      </c>
      <c r="N322">
        <v>6</v>
      </c>
      <c r="O322">
        <v>14</v>
      </c>
      <c r="P322">
        <v>12</v>
      </c>
      <c r="Q322">
        <v>5</v>
      </c>
      <c r="R322">
        <v>12</v>
      </c>
      <c r="S322">
        <v>6</v>
      </c>
      <c r="T322">
        <v>-2</v>
      </c>
      <c r="U322">
        <v>2</v>
      </c>
      <c r="V322">
        <v>1</v>
      </c>
      <c r="W322">
        <v>-3</v>
      </c>
      <c r="X322">
        <v>1</v>
      </c>
      <c r="Y322">
        <v>-2</v>
      </c>
      <c r="Z322" t="s">
        <v>617</v>
      </c>
      <c r="AA322" t="s">
        <v>326</v>
      </c>
      <c r="AB322" t="s">
        <v>36</v>
      </c>
      <c r="AC322" t="s">
        <v>1435</v>
      </c>
      <c r="AD322" t="s">
        <v>36</v>
      </c>
      <c r="AE322" t="s">
        <v>449</v>
      </c>
      <c r="AF322" t="s">
        <v>63</v>
      </c>
      <c r="AG322" s="1" t="s">
        <v>1694</v>
      </c>
    </row>
    <row r="323" spans="1:33" ht="15" customHeight="1" x14ac:dyDescent="0.25">
      <c r="A323" t="s">
        <v>1448</v>
      </c>
      <c r="B323" t="s">
        <v>1189</v>
      </c>
      <c r="C323">
        <v>2</v>
      </c>
      <c r="D323" t="s">
        <v>56</v>
      </c>
      <c r="E323" t="s">
        <v>1434</v>
      </c>
      <c r="F323" t="s">
        <v>36</v>
      </c>
      <c r="G323" t="s">
        <v>58</v>
      </c>
      <c r="H323">
        <v>14</v>
      </c>
      <c r="I323">
        <v>4</v>
      </c>
      <c r="J323" t="s">
        <v>519</v>
      </c>
      <c r="K323">
        <v>36</v>
      </c>
      <c r="L323" t="s">
        <v>318</v>
      </c>
      <c r="M323">
        <v>30</v>
      </c>
      <c r="N323">
        <v>8</v>
      </c>
      <c r="O323">
        <v>18</v>
      </c>
      <c r="P323">
        <v>11</v>
      </c>
      <c r="Q323">
        <v>1</v>
      </c>
      <c r="R323">
        <v>10</v>
      </c>
      <c r="S323">
        <v>3</v>
      </c>
      <c r="T323">
        <v>-1</v>
      </c>
      <c r="U323">
        <v>4</v>
      </c>
      <c r="V323">
        <v>0</v>
      </c>
      <c r="W323">
        <v>-5</v>
      </c>
      <c r="X323">
        <v>0</v>
      </c>
      <c r="Y323">
        <v>-4</v>
      </c>
      <c r="Z323" t="s">
        <v>36</v>
      </c>
      <c r="AA323" t="s">
        <v>326</v>
      </c>
      <c r="AB323" t="s">
        <v>36</v>
      </c>
      <c r="AC323" t="s">
        <v>1435</v>
      </c>
      <c r="AD323" t="s">
        <v>36</v>
      </c>
      <c r="AE323" t="s">
        <v>1449</v>
      </c>
      <c r="AF323" t="s">
        <v>63</v>
      </c>
      <c r="AG323" s="1" t="s">
        <v>1695</v>
      </c>
    </row>
    <row r="324" spans="1:33" ht="15" customHeight="1" x14ac:dyDescent="0.25">
      <c r="A324" t="s">
        <v>1451</v>
      </c>
      <c r="B324" t="s">
        <v>1189</v>
      </c>
      <c r="C324">
        <v>1</v>
      </c>
      <c r="D324" t="s">
        <v>34</v>
      </c>
      <c r="E324" t="s">
        <v>1190</v>
      </c>
      <c r="F324" t="s">
        <v>36</v>
      </c>
      <c r="G324" t="s">
        <v>58</v>
      </c>
      <c r="H324">
        <v>13</v>
      </c>
      <c r="I324">
        <v>3</v>
      </c>
      <c r="J324" t="s">
        <v>1452</v>
      </c>
      <c r="K324">
        <v>30</v>
      </c>
      <c r="L324" t="s">
        <v>210</v>
      </c>
      <c r="M324">
        <v>40</v>
      </c>
      <c r="N324">
        <v>17</v>
      </c>
      <c r="O324">
        <v>16</v>
      </c>
      <c r="P324">
        <v>14</v>
      </c>
      <c r="Q324">
        <v>3</v>
      </c>
      <c r="R324">
        <v>12</v>
      </c>
      <c r="S324">
        <v>8</v>
      </c>
      <c r="T324">
        <v>3</v>
      </c>
      <c r="U324">
        <v>3</v>
      </c>
      <c r="V324">
        <v>2</v>
      </c>
      <c r="W324">
        <v>-4</v>
      </c>
      <c r="X324">
        <v>1</v>
      </c>
      <c r="Y324">
        <v>-1</v>
      </c>
      <c r="Z324" t="s">
        <v>1355</v>
      </c>
      <c r="AA324" t="s">
        <v>36</v>
      </c>
      <c r="AB324" t="s">
        <v>36</v>
      </c>
      <c r="AC324" t="s">
        <v>36</v>
      </c>
      <c r="AD324" t="s">
        <v>36</v>
      </c>
      <c r="AE324" t="s">
        <v>475</v>
      </c>
      <c r="AF324" t="s">
        <v>63</v>
      </c>
      <c r="AG324" s="1" t="s">
        <v>1453</v>
      </c>
    </row>
    <row r="325" spans="1:33" ht="15" customHeight="1" x14ac:dyDescent="0.25">
      <c r="A325" t="s">
        <v>1454</v>
      </c>
      <c r="B325" t="s">
        <v>1189</v>
      </c>
      <c r="C325">
        <v>5</v>
      </c>
      <c r="D325" t="s">
        <v>103</v>
      </c>
      <c r="E325" t="s">
        <v>1190</v>
      </c>
      <c r="F325" t="s">
        <v>1191</v>
      </c>
      <c r="G325" t="s">
        <v>58</v>
      </c>
      <c r="H325">
        <v>14</v>
      </c>
      <c r="I325">
        <v>-1</v>
      </c>
      <c r="J325" t="s">
        <v>1455</v>
      </c>
      <c r="K325">
        <v>114</v>
      </c>
      <c r="L325" t="s">
        <v>109</v>
      </c>
      <c r="M325">
        <v>50</v>
      </c>
      <c r="N325">
        <v>22</v>
      </c>
      <c r="O325">
        <v>9</v>
      </c>
      <c r="P325">
        <v>17</v>
      </c>
      <c r="Q325">
        <v>2</v>
      </c>
      <c r="R325">
        <v>11</v>
      </c>
      <c r="S325">
        <v>5</v>
      </c>
      <c r="T325">
        <v>6</v>
      </c>
      <c r="U325">
        <v>-1</v>
      </c>
      <c r="V325">
        <v>3</v>
      </c>
      <c r="W325">
        <v>-4</v>
      </c>
      <c r="X325">
        <v>0</v>
      </c>
      <c r="Y325">
        <v>-3</v>
      </c>
      <c r="Z325" t="s">
        <v>36</v>
      </c>
      <c r="AA325" t="s">
        <v>36</v>
      </c>
      <c r="AB325" t="s">
        <v>36</v>
      </c>
      <c r="AC325" t="s">
        <v>36</v>
      </c>
      <c r="AD325" t="s">
        <v>36</v>
      </c>
      <c r="AE325" t="s">
        <v>99</v>
      </c>
      <c r="AF325" t="s">
        <v>63</v>
      </c>
      <c r="AG325" s="1" t="s">
        <v>1456</v>
      </c>
    </row>
    <row r="326" spans="1:33" ht="15" customHeight="1" x14ac:dyDescent="0.25">
      <c r="A326" t="s">
        <v>1457</v>
      </c>
      <c r="B326" t="s">
        <v>1189</v>
      </c>
      <c r="C326">
        <v>8</v>
      </c>
      <c r="D326" t="s">
        <v>103</v>
      </c>
      <c r="E326" t="s">
        <v>1190</v>
      </c>
      <c r="F326" t="s">
        <v>1191</v>
      </c>
      <c r="G326" t="s">
        <v>58</v>
      </c>
      <c r="H326">
        <v>13</v>
      </c>
      <c r="I326">
        <v>3</v>
      </c>
      <c r="J326" t="s">
        <v>1458</v>
      </c>
      <c r="K326">
        <v>136</v>
      </c>
      <c r="L326" t="s">
        <v>109</v>
      </c>
      <c r="M326">
        <v>50</v>
      </c>
      <c r="N326">
        <v>25</v>
      </c>
      <c r="O326">
        <v>10</v>
      </c>
      <c r="P326">
        <v>19</v>
      </c>
      <c r="Q326">
        <v>2</v>
      </c>
      <c r="R326">
        <v>12</v>
      </c>
      <c r="S326">
        <v>9</v>
      </c>
      <c r="T326">
        <v>10</v>
      </c>
      <c r="U326">
        <v>0</v>
      </c>
      <c r="V326">
        <v>4</v>
      </c>
      <c r="W326">
        <v>-4</v>
      </c>
      <c r="X326">
        <v>4</v>
      </c>
      <c r="Y326">
        <v>-1</v>
      </c>
      <c r="Z326" t="s">
        <v>319</v>
      </c>
      <c r="AA326" t="s">
        <v>36</v>
      </c>
      <c r="AB326" t="s">
        <v>36</v>
      </c>
      <c r="AC326" t="s">
        <v>36</v>
      </c>
      <c r="AD326" t="s">
        <v>36</v>
      </c>
      <c r="AE326" t="s">
        <v>638</v>
      </c>
      <c r="AF326" t="s">
        <v>63</v>
      </c>
      <c r="AG326" s="1" t="s">
        <v>1696</v>
      </c>
    </row>
    <row r="327" spans="1:33" ht="15" customHeight="1" x14ac:dyDescent="0.25">
      <c r="A327" t="s">
        <v>1460</v>
      </c>
      <c r="B327" t="s">
        <v>1189</v>
      </c>
      <c r="C327">
        <v>0.125</v>
      </c>
      <c r="D327" t="s">
        <v>669</v>
      </c>
      <c r="E327" t="s">
        <v>1190</v>
      </c>
      <c r="F327" t="s">
        <v>36</v>
      </c>
      <c r="G327" t="s">
        <v>58</v>
      </c>
      <c r="H327">
        <v>12</v>
      </c>
      <c r="I327">
        <v>2</v>
      </c>
      <c r="J327" t="s">
        <v>1034</v>
      </c>
      <c r="K327">
        <v>5</v>
      </c>
      <c r="L327" t="s">
        <v>318</v>
      </c>
      <c r="M327">
        <v>30</v>
      </c>
      <c r="N327">
        <v>2</v>
      </c>
      <c r="O327">
        <v>15</v>
      </c>
      <c r="P327">
        <v>11</v>
      </c>
      <c r="Q327">
        <v>1</v>
      </c>
      <c r="R327">
        <v>10</v>
      </c>
      <c r="S327">
        <v>3</v>
      </c>
      <c r="T327">
        <v>-4</v>
      </c>
      <c r="U327">
        <v>2</v>
      </c>
      <c r="V327">
        <v>0</v>
      </c>
      <c r="W327">
        <v>-5</v>
      </c>
      <c r="X327">
        <v>0</v>
      </c>
      <c r="Y327">
        <v>-4</v>
      </c>
      <c r="Z327" t="s">
        <v>36</v>
      </c>
      <c r="AA327" t="s">
        <v>36</v>
      </c>
      <c r="AB327" t="s">
        <v>36</v>
      </c>
      <c r="AC327" t="s">
        <v>36</v>
      </c>
      <c r="AD327" t="s">
        <v>36</v>
      </c>
      <c r="AE327" t="s">
        <v>1449</v>
      </c>
      <c r="AF327" t="s">
        <v>63</v>
      </c>
      <c r="AG327" s="1" t="s">
        <v>1461</v>
      </c>
    </row>
    <row r="328" spans="1:33" ht="15" customHeight="1" x14ac:dyDescent="0.25">
      <c r="A328" t="s">
        <v>1462</v>
      </c>
      <c r="B328" t="s">
        <v>1189</v>
      </c>
      <c r="C328">
        <v>0</v>
      </c>
      <c r="D328" t="s">
        <v>56</v>
      </c>
      <c r="E328" t="s">
        <v>1190</v>
      </c>
      <c r="F328" t="s">
        <v>36</v>
      </c>
      <c r="G328" t="s">
        <v>58</v>
      </c>
      <c r="H328">
        <v>10</v>
      </c>
      <c r="I328">
        <v>0</v>
      </c>
      <c r="J328" t="s">
        <v>1369</v>
      </c>
      <c r="K328">
        <v>5</v>
      </c>
      <c r="L328" t="s">
        <v>1349</v>
      </c>
      <c r="M328">
        <v>10</v>
      </c>
      <c r="N328">
        <v>7</v>
      </c>
      <c r="O328">
        <v>10</v>
      </c>
      <c r="P328">
        <v>13</v>
      </c>
      <c r="Q328">
        <v>2</v>
      </c>
      <c r="R328">
        <v>12</v>
      </c>
      <c r="S328">
        <v>4</v>
      </c>
      <c r="T328">
        <v>-2</v>
      </c>
      <c r="U328">
        <v>0</v>
      </c>
      <c r="V328">
        <v>1</v>
      </c>
      <c r="W328">
        <v>-4</v>
      </c>
      <c r="X328">
        <v>1</v>
      </c>
      <c r="Y328">
        <v>-3</v>
      </c>
      <c r="Z328" t="s">
        <v>1211</v>
      </c>
      <c r="AA328" t="s">
        <v>36</v>
      </c>
      <c r="AB328" t="s">
        <v>36</v>
      </c>
      <c r="AC328" t="s">
        <v>36</v>
      </c>
      <c r="AD328" t="s">
        <v>36</v>
      </c>
      <c r="AE328" t="s">
        <v>301</v>
      </c>
      <c r="AF328" t="s">
        <v>63</v>
      </c>
      <c r="AG328" s="1" t="s">
        <v>1697</v>
      </c>
    </row>
    <row r="329" spans="1:33" ht="15" customHeight="1" x14ac:dyDescent="0.25">
      <c r="A329" t="s">
        <v>1464</v>
      </c>
      <c r="B329" t="s">
        <v>1189</v>
      </c>
      <c r="C329">
        <v>0.5</v>
      </c>
      <c r="D329" t="s">
        <v>34</v>
      </c>
      <c r="E329" t="s">
        <v>1190</v>
      </c>
      <c r="F329" t="s">
        <v>36</v>
      </c>
      <c r="G329" t="s">
        <v>58</v>
      </c>
      <c r="H329">
        <v>11</v>
      </c>
      <c r="I329">
        <v>1</v>
      </c>
      <c r="J329" t="s">
        <v>108</v>
      </c>
      <c r="K329">
        <v>19</v>
      </c>
      <c r="L329" t="s">
        <v>990</v>
      </c>
      <c r="M329">
        <v>60</v>
      </c>
      <c r="N329">
        <v>18</v>
      </c>
      <c r="O329">
        <v>12</v>
      </c>
      <c r="P329">
        <v>13</v>
      </c>
      <c r="Q329">
        <v>2</v>
      </c>
      <c r="R329">
        <v>12</v>
      </c>
      <c r="S329">
        <v>7</v>
      </c>
      <c r="T329">
        <v>4</v>
      </c>
      <c r="U329">
        <v>1</v>
      </c>
      <c r="V329">
        <v>1</v>
      </c>
      <c r="W329">
        <v>-4</v>
      </c>
      <c r="X329">
        <v>3</v>
      </c>
      <c r="Y329">
        <v>-2</v>
      </c>
      <c r="Z329" t="s">
        <v>36</v>
      </c>
      <c r="AA329" t="s">
        <v>36</v>
      </c>
      <c r="AB329" t="s">
        <v>36</v>
      </c>
      <c r="AC329" t="s">
        <v>36</v>
      </c>
      <c r="AD329" t="s">
        <v>36</v>
      </c>
      <c r="AE329" t="s">
        <v>116</v>
      </c>
      <c r="AF329" t="s">
        <v>63</v>
      </c>
      <c r="AG329" s="1" t="s">
        <v>1465</v>
      </c>
    </row>
    <row r="330" spans="1:33" ht="15" customHeight="1" x14ac:dyDescent="0.25">
      <c r="A330" t="s">
        <v>1466</v>
      </c>
      <c r="B330" t="s">
        <v>1189</v>
      </c>
      <c r="C330">
        <v>0</v>
      </c>
      <c r="D330" t="s">
        <v>669</v>
      </c>
      <c r="E330" t="s">
        <v>1190</v>
      </c>
      <c r="F330" t="s">
        <v>36</v>
      </c>
      <c r="G330" t="s">
        <v>58</v>
      </c>
      <c r="H330">
        <v>13</v>
      </c>
      <c r="I330">
        <v>3</v>
      </c>
      <c r="J330" t="s">
        <v>1215</v>
      </c>
      <c r="K330">
        <v>1</v>
      </c>
      <c r="L330" t="s">
        <v>144</v>
      </c>
      <c r="M330">
        <v>30</v>
      </c>
      <c r="N330">
        <v>3</v>
      </c>
      <c r="O330">
        <v>16</v>
      </c>
      <c r="P330">
        <v>8</v>
      </c>
      <c r="Q330">
        <v>2</v>
      </c>
      <c r="R330">
        <v>12</v>
      </c>
      <c r="S330">
        <v>3</v>
      </c>
      <c r="T330">
        <v>-4</v>
      </c>
      <c r="U330">
        <v>3</v>
      </c>
      <c r="V330">
        <v>-1</v>
      </c>
      <c r="W330">
        <v>-4</v>
      </c>
      <c r="X330">
        <v>1</v>
      </c>
      <c r="Y330">
        <v>-4</v>
      </c>
      <c r="Z330" t="s">
        <v>1352</v>
      </c>
      <c r="AA330" t="s">
        <v>36</v>
      </c>
      <c r="AB330" t="s">
        <v>36</v>
      </c>
      <c r="AC330" t="s">
        <v>36</v>
      </c>
      <c r="AD330" t="s">
        <v>36</v>
      </c>
      <c r="AE330" t="s">
        <v>475</v>
      </c>
      <c r="AF330" t="s">
        <v>63</v>
      </c>
      <c r="AG330" s="1" t="s">
        <v>1467</v>
      </c>
    </row>
    <row r="331" spans="1:33" ht="15" customHeight="1" x14ac:dyDescent="0.25">
      <c r="A331" t="s">
        <v>1468</v>
      </c>
      <c r="B331" t="s">
        <v>1189</v>
      </c>
      <c r="C331">
        <v>0.25</v>
      </c>
      <c r="D331" t="s">
        <v>56</v>
      </c>
      <c r="E331" t="s">
        <v>1190</v>
      </c>
      <c r="F331" t="s">
        <v>36</v>
      </c>
      <c r="G331" t="s">
        <v>58</v>
      </c>
      <c r="H331">
        <v>12</v>
      </c>
      <c r="I331">
        <v>2</v>
      </c>
      <c r="J331" t="s">
        <v>133</v>
      </c>
      <c r="K331">
        <v>11</v>
      </c>
      <c r="L331" t="s">
        <v>210</v>
      </c>
      <c r="M331">
        <v>40</v>
      </c>
      <c r="N331">
        <v>14</v>
      </c>
      <c r="O331">
        <v>15</v>
      </c>
      <c r="P331">
        <v>12</v>
      </c>
      <c r="Q331">
        <v>3</v>
      </c>
      <c r="R331">
        <v>12</v>
      </c>
      <c r="S331">
        <v>6</v>
      </c>
      <c r="T331">
        <v>2</v>
      </c>
      <c r="U331">
        <v>2</v>
      </c>
      <c r="V331">
        <v>1</v>
      </c>
      <c r="W331">
        <v>-4</v>
      </c>
      <c r="X331">
        <v>1</v>
      </c>
      <c r="Y331">
        <v>-2</v>
      </c>
      <c r="Z331" t="s">
        <v>406</v>
      </c>
      <c r="AA331" t="s">
        <v>36</v>
      </c>
      <c r="AB331" t="s">
        <v>36</v>
      </c>
      <c r="AC331" t="s">
        <v>36</v>
      </c>
      <c r="AD331" t="s">
        <v>36</v>
      </c>
      <c r="AE331" t="s">
        <v>212</v>
      </c>
      <c r="AF331" t="s">
        <v>63</v>
      </c>
      <c r="AG331" s="1" t="s">
        <v>1698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29C86-1F94-4E23-A982-599FFF19919C}">
  <dimension ref="A1:AA85"/>
  <sheetViews>
    <sheetView workbookViewId="0">
      <selection activeCell="AA3" sqref="AA3"/>
    </sheetView>
  </sheetViews>
  <sheetFormatPr defaultRowHeight="15" x14ac:dyDescent="0.25"/>
  <cols>
    <col min="1" max="1" width="10.42578125" bestFit="1" customWidth="1"/>
    <col min="2" max="2" width="9.7109375" bestFit="1" customWidth="1"/>
    <col min="3" max="3" width="11.28515625" bestFit="1" customWidth="1"/>
    <col min="4" max="4" width="10.28515625" bestFit="1" customWidth="1"/>
    <col min="5" max="5" width="5.85546875" bestFit="1" customWidth="1"/>
    <col min="6" max="6" width="7.42578125" bestFit="1" customWidth="1"/>
    <col min="7" max="7" width="3.85546875" bestFit="1" customWidth="1"/>
    <col min="8" max="8" width="7.85546875" bestFit="1" customWidth="1"/>
    <col min="9" max="10" width="5.85546875" bestFit="1" customWidth="1"/>
    <col min="26" max="26" width="19.85546875" bestFit="1" customWidth="1"/>
  </cols>
  <sheetData>
    <row r="1" spans="1:27" ht="26.25" x14ac:dyDescent="0.4">
      <c r="A1" s="3" t="s">
        <v>1470</v>
      </c>
      <c r="B1" t="s">
        <v>45</v>
      </c>
      <c r="C1" t="s">
        <v>76</v>
      </c>
      <c r="D1" t="s">
        <v>83</v>
      </c>
      <c r="E1" t="s">
        <v>120</v>
      </c>
      <c r="F1" t="s">
        <v>174</v>
      </c>
      <c r="G1" t="s">
        <v>207</v>
      </c>
      <c r="H1" t="s">
        <v>518</v>
      </c>
      <c r="I1" t="s">
        <v>1190</v>
      </c>
      <c r="J1" t="s">
        <v>1472</v>
      </c>
      <c r="Y1" t="s">
        <v>1712</v>
      </c>
      <c r="Z1" t="s">
        <v>1713</v>
      </c>
      <c r="AA1" t="s">
        <v>1717</v>
      </c>
    </row>
    <row r="2" spans="1:27" x14ac:dyDescent="0.25">
      <c r="B2" cm="1">
        <f t="array" ref="B2:B18">_xlfn._xlws.FILTER(monsters!$N$2:$N$331,monsters!$E$2:$E$331=StrByType!B1,"")</f>
        <v>14</v>
      </c>
      <c r="C2" cm="1">
        <f t="array" ref="C2:C38">_xlfn._xlws.FILTER(monsters!$N$2:$N$331,monsters!$E$2:$E$331=StrByType!C1,"")</f>
        <v>17</v>
      </c>
      <c r="D2" cm="1">
        <f t="array" ref="D2:D27">_xlfn._xlws.FILTER(monsters!$N$2:$N$331,monsters!$E$2:$E$331=StrByType!D1,"")</f>
        <v>11</v>
      </c>
      <c r="E2" cm="1">
        <f t="array" ref="E2:E30">_xlfn._xlws.FILTER(monsters!$N$2:$N$331,monsters!$E$2:$E$331=StrByType!E1,"")</f>
        <v>26</v>
      </c>
      <c r="F2" cm="1">
        <f t="array" ref="F2:F46">_xlfn._xlws.FILTER(monsters!$N$2:$N$331,monsters!$E$2:$E$331=StrByType!F1,"")</f>
        <v>15</v>
      </c>
      <c r="G2" cm="1">
        <f t="array" ref="G2:G16">_xlfn._xlws.FILTER(monsters!$N$2:$N$331,monsters!$E$2:$E$331=StrByType!G1,"")</f>
        <v>12</v>
      </c>
      <c r="H2" cm="1">
        <f t="array" ref="H2:H19">_xlfn._xlws.FILTER(monsters!$N$2:$N$331,monsters!$E$2:$E$331=StrByType!H1,"")</f>
        <v>16</v>
      </c>
      <c r="I2" cm="1">
        <f t="array" ref="I2:I85">_xlfn._xlws.FILTER(monsters!$N$2:$N$331,monsters!$E$2:$E$331=StrByType!I1,"")</f>
        <v>19</v>
      </c>
      <c r="J2" cm="1">
        <f t="array" ref="J2:J60">_xlfn._xlws.FILTER(monsters!$N$2:$N$331,(monsters!E2:E331&lt;&gt;StrByType!B1)*(monsters!E2:E331&lt;&gt;StrByType!C1)*(monsters!E2:E331&lt;&gt;StrByType!D1)*(monsters!E2:E331&lt;&gt;StrByType!E1)*(monsters!E2:E331&lt;&gt;StrByType!F1)*(monsters!E2:E331&lt;&gt;StrByType!G1)*(monsters!E2:E331&lt;&gt;StrByType!H1)*(monsters!E2:E331&lt;&gt;StrByType!I1),"")</f>
        <v>21</v>
      </c>
      <c r="Y2" t="s">
        <v>1714</v>
      </c>
      <c r="Z2" t="s">
        <v>1715</v>
      </c>
      <c r="AA2" t="s">
        <v>1718</v>
      </c>
    </row>
    <row r="3" spans="1:27" x14ac:dyDescent="0.25">
      <c r="B3">
        <v>17</v>
      </c>
      <c r="C3">
        <v>14</v>
      </c>
      <c r="D3">
        <v>11</v>
      </c>
      <c r="E3">
        <v>16</v>
      </c>
      <c r="F3">
        <v>19</v>
      </c>
      <c r="G3">
        <v>17</v>
      </c>
      <c r="H3">
        <v>7</v>
      </c>
      <c r="I3">
        <v>19</v>
      </c>
      <c r="J3">
        <v>14</v>
      </c>
    </row>
    <row r="4" spans="1:27" x14ac:dyDescent="0.25">
      <c r="B4">
        <v>21</v>
      </c>
      <c r="C4">
        <v>16</v>
      </c>
      <c r="D4">
        <v>15</v>
      </c>
      <c r="E4">
        <v>16</v>
      </c>
      <c r="F4">
        <v>23</v>
      </c>
      <c r="G4">
        <v>15</v>
      </c>
      <c r="H4">
        <v>13</v>
      </c>
      <c r="I4">
        <v>16</v>
      </c>
      <c r="J4">
        <v>12</v>
      </c>
    </row>
    <row r="5" spans="1:27" x14ac:dyDescent="0.25">
      <c r="B5">
        <v>20</v>
      </c>
      <c r="C5">
        <v>23</v>
      </c>
      <c r="D5">
        <v>16</v>
      </c>
      <c r="E5">
        <v>18</v>
      </c>
      <c r="F5">
        <v>27</v>
      </c>
      <c r="G5">
        <v>18</v>
      </c>
      <c r="H5">
        <v>11</v>
      </c>
      <c r="I5">
        <v>18</v>
      </c>
      <c r="J5">
        <v>17</v>
      </c>
    </row>
    <row r="6" spans="1:27" x14ac:dyDescent="0.25">
      <c r="B6">
        <v>22</v>
      </c>
      <c r="C6">
        <v>19</v>
      </c>
      <c r="D6">
        <v>10</v>
      </c>
      <c r="E6">
        <v>18</v>
      </c>
      <c r="F6">
        <v>17</v>
      </c>
      <c r="G6">
        <v>10</v>
      </c>
      <c r="H6">
        <v>16</v>
      </c>
      <c r="I6">
        <v>8</v>
      </c>
      <c r="J6">
        <v>3</v>
      </c>
    </row>
    <row r="7" spans="1:27" x14ac:dyDescent="0.25">
      <c r="B7">
        <v>10</v>
      </c>
      <c r="C7">
        <v>19</v>
      </c>
      <c r="D7">
        <v>11</v>
      </c>
      <c r="E7">
        <v>12</v>
      </c>
      <c r="F7">
        <v>21</v>
      </c>
      <c r="G7">
        <v>8</v>
      </c>
      <c r="H7">
        <v>18</v>
      </c>
      <c r="I7">
        <v>10</v>
      </c>
      <c r="J7">
        <v>19</v>
      </c>
    </row>
    <row r="8" spans="1:27" x14ac:dyDescent="0.25">
      <c r="B8">
        <v>15</v>
      </c>
      <c r="C8">
        <v>6</v>
      </c>
      <c r="D8">
        <v>11</v>
      </c>
      <c r="E8">
        <v>18</v>
      </c>
      <c r="F8">
        <v>25</v>
      </c>
      <c r="G8">
        <v>8</v>
      </c>
      <c r="H8">
        <v>6</v>
      </c>
      <c r="I8">
        <v>2</v>
      </c>
      <c r="J8">
        <v>16</v>
      </c>
    </row>
    <row r="9" spans="1:27" x14ac:dyDescent="0.25">
      <c r="B9">
        <v>16</v>
      </c>
      <c r="C9">
        <v>15</v>
      </c>
      <c r="D9">
        <v>10</v>
      </c>
      <c r="E9">
        <v>20</v>
      </c>
      <c r="F9">
        <v>29</v>
      </c>
      <c r="G9">
        <v>10</v>
      </c>
      <c r="H9">
        <v>10</v>
      </c>
      <c r="I9">
        <v>15</v>
      </c>
      <c r="J9">
        <v>19</v>
      </c>
    </row>
    <row r="10" spans="1:27" x14ac:dyDescent="0.25">
      <c r="B10">
        <v>7</v>
      </c>
      <c r="C10">
        <v>11</v>
      </c>
      <c r="D10">
        <v>18</v>
      </c>
      <c r="E10">
        <v>14</v>
      </c>
      <c r="F10">
        <v>15</v>
      </c>
      <c r="G10">
        <v>18</v>
      </c>
      <c r="H10">
        <v>18</v>
      </c>
      <c r="I10">
        <v>6</v>
      </c>
      <c r="J10">
        <v>20</v>
      </c>
    </row>
    <row r="11" spans="1:27" x14ac:dyDescent="0.25">
      <c r="B11">
        <v>5</v>
      </c>
      <c r="C11">
        <v>16</v>
      </c>
      <c r="D11">
        <v>13</v>
      </c>
      <c r="E11">
        <v>17</v>
      </c>
      <c r="F11">
        <v>19</v>
      </c>
      <c r="G11">
        <v>13</v>
      </c>
      <c r="H11">
        <v>18</v>
      </c>
      <c r="I11">
        <v>13</v>
      </c>
      <c r="J11">
        <v>17</v>
      </c>
    </row>
    <row r="12" spans="1:27" x14ac:dyDescent="0.25">
      <c r="B12">
        <v>7</v>
      </c>
      <c r="C12">
        <v>14</v>
      </c>
      <c r="D12">
        <v>18</v>
      </c>
      <c r="E12">
        <v>19</v>
      </c>
      <c r="F12">
        <v>23</v>
      </c>
      <c r="G12">
        <v>15</v>
      </c>
      <c r="H12">
        <v>1</v>
      </c>
      <c r="I12">
        <v>17</v>
      </c>
      <c r="J12">
        <v>27</v>
      </c>
    </row>
    <row r="13" spans="1:27" x14ac:dyDescent="0.25">
      <c r="B13">
        <v>8</v>
      </c>
      <c r="C13">
        <v>18</v>
      </c>
      <c r="D13">
        <v>16</v>
      </c>
      <c r="E13">
        <v>22</v>
      </c>
      <c r="F13">
        <v>27</v>
      </c>
      <c r="G13">
        <v>12</v>
      </c>
      <c r="H13">
        <v>16</v>
      </c>
      <c r="I13">
        <v>15</v>
      </c>
      <c r="J13">
        <v>16</v>
      </c>
    </row>
    <row r="14" spans="1:27" x14ac:dyDescent="0.25">
      <c r="B14">
        <v>5</v>
      </c>
      <c r="C14">
        <v>12</v>
      </c>
      <c r="D14">
        <v>9</v>
      </c>
      <c r="E14">
        <v>21</v>
      </c>
      <c r="F14">
        <v>17</v>
      </c>
      <c r="G14">
        <v>16</v>
      </c>
      <c r="H14">
        <v>18</v>
      </c>
      <c r="I14">
        <v>3</v>
      </c>
      <c r="J14">
        <v>14</v>
      </c>
    </row>
    <row r="15" spans="1:27" x14ac:dyDescent="0.25">
      <c r="B15">
        <v>10</v>
      </c>
      <c r="C15">
        <v>17</v>
      </c>
      <c r="D15">
        <v>10</v>
      </c>
      <c r="E15">
        <v>6</v>
      </c>
      <c r="F15">
        <v>21</v>
      </c>
      <c r="G15">
        <v>3</v>
      </c>
      <c r="H15">
        <v>15</v>
      </c>
      <c r="I15">
        <v>15</v>
      </c>
      <c r="J15">
        <v>16</v>
      </c>
    </row>
    <row r="16" spans="1:27" x14ac:dyDescent="0.25">
      <c r="B16">
        <v>18</v>
      </c>
      <c r="C16">
        <v>20</v>
      </c>
      <c r="D16">
        <v>11</v>
      </c>
      <c r="E16">
        <v>8</v>
      </c>
      <c r="F16">
        <v>25</v>
      </c>
      <c r="G16">
        <v>16</v>
      </c>
      <c r="H16">
        <v>1</v>
      </c>
      <c r="I16">
        <v>6</v>
      </c>
      <c r="J16">
        <v>18</v>
      </c>
    </row>
    <row r="17" spans="2:10" x14ac:dyDescent="0.25">
      <c r="B17">
        <v>18</v>
      </c>
      <c r="C17">
        <v>30</v>
      </c>
      <c r="D17">
        <v>10</v>
      </c>
      <c r="E17">
        <v>16</v>
      </c>
      <c r="F17">
        <v>29</v>
      </c>
      <c r="H17">
        <v>6</v>
      </c>
      <c r="I17">
        <v>15</v>
      </c>
      <c r="J17">
        <v>21</v>
      </c>
    </row>
    <row r="18" spans="2:10" x14ac:dyDescent="0.25">
      <c r="B18">
        <v>17</v>
      </c>
      <c r="C18">
        <v>17</v>
      </c>
      <c r="D18">
        <v>10</v>
      </c>
      <c r="E18">
        <v>10</v>
      </c>
      <c r="F18">
        <v>15</v>
      </c>
      <c r="H18">
        <v>13</v>
      </c>
      <c r="I18">
        <v>11</v>
      </c>
      <c r="J18">
        <v>25</v>
      </c>
    </row>
    <row r="19" spans="2:10" x14ac:dyDescent="0.25">
      <c r="C19">
        <v>10</v>
      </c>
      <c r="D19">
        <v>14</v>
      </c>
      <c r="E19">
        <v>18</v>
      </c>
      <c r="F19">
        <v>19</v>
      </c>
      <c r="H19">
        <v>19</v>
      </c>
      <c r="I19">
        <v>17</v>
      </c>
      <c r="J19">
        <v>19</v>
      </c>
    </row>
    <row r="20" spans="2:10" x14ac:dyDescent="0.25">
      <c r="C20">
        <v>18</v>
      </c>
      <c r="D20">
        <v>16</v>
      </c>
      <c r="E20">
        <v>21</v>
      </c>
      <c r="F20">
        <v>23</v>
      </c>
      <c r="I20">
        <v>18</v>
      </c>
      <c r="J20">
        <v>23</v>
      </c>
    </row>
    <row r="21" spans="2:10" x14ac:dyDescent="0.25">
      <c r="C21">
        <v>17</v>
      </c>
      <c r="D21">
        <v>11</v>
      </c>
      <c r="E21">
        <v>18</v>
      </c>
      <c r="F21">
        <v>27</v>
      </c>
      <c r="I21">
        <v>6</v>
      </c>
      <c r="J21">
        <v>1</v>
      </c>
    </row>
    <row r="22" spans="2:10" x14ac:dyDescent="0.25">
      <c r="C22">
        <v>18</v>
      </c>
      <c r="D22">
        <v>10</v>
      </c>
      <c r="E22">
        <v>18</v>
      </c>
      <c r="F22">
        <v>25</v>
      </c>
      <c r="I22">
        <v>22</v>
      </c>
      <c r="J22">
        <v>3</v>
      </c>
    </row>
    <row r="23" spans="2:10" x14ac:dyDescent="0.25">
      <c r="C23">
        <v>20</v>
      </c>
      <c r="D23">
        <v>15</v>
      </c>
      <c r="E23">
        <v>19</v>
      </c>
      <c r="F23">
        <v>19</v>
      </c>
      <c r="I23">
        <v>16</v>
      </c>
      <c r="J23">
        <v>14</v>
      </c>
    </row>
    <row r="24" spans="2:10" x14ac:dyDescent="0.25">
      <c r="C24">
        <v>15</v>
      </c>
      <c r="D24">
        <v>17</v>
      </c>
      <c r="E24">
        <v>26</v>
      </c>
      <c r="F24">
        <v>23</v>
      </c>
      <c r="I24">
        <v>1</v>
      </c>
      <c r="J24">
        <v>10</v>
      </c>
    </row>
    <row r="25" spans="2:10" x14ac:dyDescent="0.25">
      <c r="C25">
        <v>28</v>
      </c>
      <c r="D25">
        <v>17</v>
      </c>
      <c r="E25">
        <v>5</v>
      </c>
      <c r="F25">
        <v>27</v>
      </c>
      <c r="I25">
        <v>23</v>
      </c>
      <c r="J25">
        <v>20</v>
      </c>
    </row>
    <row r="26" spans="2:10" x14ac:dyDescent="0.25">
      <c r="C26">
        <v>24</v>
      </c>
      <c r="D26">
        <v>13</v>
      </c>
      <c r="E26">
        <v>14</v>
      </c>
      <c r="F26">
        <v>30</v>
      </c>
      <c r="I26">
        <v>13</v>
      </c>
      <c r="J26">
        <v>12</v>
      </c>
    </row>
    <row r="27" spans="2:10" x14ac:dyDescent="0.25">
      <c r="C27">
        <v>28</v>
      </c>
      <c r="D27">
        <v>16</v>
      </c>
      <c r="E27">
        <v>13</v>
      </c>
      <c r="F27">
        <v>15</v>
      </c>
      <c r="I27">
        <v>15</v>
      </c>
      <c r="J27">
        <v>14</v>
      </c>
    </row>
    <row r="28" spans="2:10" x14ac:dyDescent="0.25">
      <c r="C28">
        <v>13</v>
      </c>
      <c r="E28">
        <v>18</v>
      </c>
      <c r="F28">
        <v>19</v>
      </c>
      <c r="I28">
        <v>17</v>
      </c>
      <c r="J28">
        <v>16</v>
      </c>
    </row>
    <row r="29" spans="2:10" x14ac:dyDescent="0.25">
      <c r="C29">
        <v>4</v>
      </c>
      <c r="E29">
        <v>8</v>
      </c>
      <c r="F29">
        <v>23</v>
      </c>
      <c r="I29">
        <v>5</v>
      </c>
      <c r="J29">
        <v>19</v>
      </c>
    </row>
    <row r="30" spans="2:10" x14ac:dyDescent="0.25">
      <c r="C30">
        <v>30</v>
      </c>
      <c r="E30">
        <v>17</v>
      </c>
      <c r="F30">
        <v>27</v>
      </c>
      <c r="I30">
        <v>19</v>
      </c>
      <c r="J30">
        <v>21</v>
      </c>
    </row>
    <row r="31" spans="2:10" x14ac:dyDescent="0.25">
      <c r="C31">
        <v>19</v>
      </c>
      <c r="F31">
        <v>19</v>
      </c>
      <c r="I31">
        <v>13</v>
      </c>
      <c r="J31">
        <v>4</v>
      </c>
    </row>
    <row r="32" spans="2:10" x14ac:dyDescent="0.25">
      <c r="C32">
        <v>17</v>
      </c>
      <c r="F32">
        <v>7</v>
      </c>
      <c r="I32">
        <v>21</v>
      </c>
      <c r="J32">
        <v>24</v>
      </c>
    </row>
    <row r="33" spans="3:10" x14ac:dyDescent="0.25">
      <c r="C33">
        <v>10</v>
      </c>
      <c r="F33">
        <v>6</v>
      </c>
      <c r="I33">
        <v>8</v>
      </c>
      <c r="J33">
        <v>15</v>
      </c>
    </row>
    <row r="34" spans="3:10" x14ac:dyDescent="0.25">
      <c r="C34">
        <v>17</v>
      </c>
      <c r="F34">
        <v>19</v>
      </c>
      <c r="I34">
        <v>12</v>
      </c>
      <c r="J34">
        <v>19</v>
      </c>
    </row>
    <row r="35" spans="3:10" x14ac:dyDescent="0.25">
      <c r="C35">
        <v>16</v>
      </c>
      <c r="F35">
        <v>23</v>
      </c>
      <c r="I35">
        <v>17</v>
      </c>
      <c r="J35">
        <v>16</v>
      </c>
    </row>
    <row r="36" spans="3:10" x14ac:dyDescent="0.25">
      <c r="C36">
        <v>18</v>
      </c>
      <c r="F36">
        <v>27</v>
      </c>
      <c r="I36">
        <v>16</v>
      </c>
      <c r="J36">
        <v>18</v>
      </c>
    </row>
    <row r="37" spans="3:10" x14ac:dyDescent="0.25">
      <c r="C37">
        <v>4</v>
      </c>
      <c r="F37">
        <v>30</v>
      </c>
      <c r="I37">
        <v>15</v>
      </c>
      <c r="J37">
        <v>24</v>
      </c>
    </row>
    <row r="38" spans="3:10" x14ac:dyDescent="0.25">
      <c r="C38">
        <v>15</v>
      </c>
      <c r="F38">
        <v>19</v>
      </c>
      <c r="I38">
        <v>17</v>
      </c>
      <c r="J38">
        <v>18</v>
      </c>
    </row>
    <row r="39" spans="3:10" x14ac:dyDescent="0.25">
      <c r="F39">
        <v>23</v>
      </c>
      <c r="I39">
        <v>7</v>
      </c>
      <c r="J39">
        <v>18</v>
      </c>
    </row>
    <row r="40" spans="3:10" x14ac:dyDescent="0.25">
      <c r="F40">
        <v>27</v>
      </c>
      <c r="I40">
        <v>16</v>
      </c>
      <c r="J40">
        <v>18</v>
      </c>
    </row>
    <row r="41" spans="3:10" x14ac:dyDescent="0.25">
      <c r="F41">
        <v>30</v>
      </c>
      <c r="I41">
        <v>15</v>
      </c>
      <c r="J41">
        <v>26</v>
      </c>
    </row>
    <row r="42" spans="3:10" x14ac:dyDescent="0.25">
      <c r="F42">
        <v>14</v>
      </c>
      <c r="I42">
        <v>23</v>
      </c>
      <c r="J42">
        <v>6</v>
      </c>
    </row>
    <row r="43" spans="3:10" x14ac:dyDescent="0.25">
      <c r="F43">
        <v>18</v>
      </c>
      <c r="I43">
        <v>14</v>
      </c>
      <c r="J43">
        <v>18</v>
      </c>
    </row>
    <row r="44" spans="3:10" x14ac:dyDescent="0.25">
      <c r="F44">
        <v>22</v>
      </c>
      <c r="I44">
        <v>15</v>
      </c>
      <c r="J44">
        <v>22</v>
      </c>
    </row>
    <row r="45" spans="3:10" x14ac:dyDescent="0.25">
      <c r="F45">
        <v>26</v>
      </c>
      <c r="I45">
        <v>10</v>
      </c>
      <c r="J45">
        <v>23</v>
      </c>
    </row>
    <row r="46" spans="3:10" x14ac:dyDescent="0.25">
      <c r="F46">
        <v>19</v>
      </c>
      <c r="I46">
        <v>10</v>
      </c>
      <c r="J46">
        <v>22</v>
      </c>
    </row>
    <row r="47" spans="3:10" x14ac:dyDescent="0.25">
      <c r="I47">
        <v>11</v>
      </c>
      <c r="J47">
        <v>29</v>
      </c>
    </row>
    <row r="48" spans="3:10" x14ac:dyDescent="0.25">
      <c r="I48">
        <v>12</v>
      </c>
      <c r="J48">
        <v>23</v>
      </c>
    </row>
    <row r="49" spans="9:10" x14ac:dyDescent="0.25">
      <c r="I49">
        <v>11</v>
      </c>
      <c r="J49">
        <v>18</v>
      </c>
    </row>
    <row r="50" spans="9:10" x14ac:dyDescent="0.25">
      <c r="I50">
        <v>5</v>
      </c>
      <c r="J50">
        <v>18</v>
      </c>
    </row>
    <row r="51" spans="9:10" x14ac:dyDescent="0.25">
      <c r="I51">
        <v>21</v>
      </c>
      <c r="J51">
        <v>18</v>
      </c>
    </row>
    <row r="52" spans="9:10" x14ac:dyDescent="0.25">
      <c r="I52">
        <v>18</v>
      </c>
      <c r="J52">
        <v>16</v>
      </c>
    </row>
    <row r="53" spans="9:10" x14ac:dyDescent="0.25">
      <c r="I53">
        <v>11</v>
      </c>
      <c r="J53">
        <v>19</v>
      </c>
    </row>
    <row r="54" spans="9:10" x14ac:dyDescent="0.25">
      <c r="I54">
        <v>8</v>
      </c>
      <c r="J54">
        <v>13</v>
      </c>
    </row>
    <row r="55" spans="9:10" x14ac:dyDescent="0.25">
      <c r="I55">
        <v>19</v>
      </c>
      <c r="J55">
        <v>5</v>
      </c>
    </row>
    <row r="56" spans="9:10" x14ac:dyDescent="0.25">
      <c r="I56">
        <v>17</v>
      </c>
      <c r="J56">
        <v>3</v>
      </c>
    </row>
    <row r="57" spans="9:10" x14ac:dyDescent="0.25">
      <c r="I57">
        <v>2</v>
      </c>
      <c r="J57">
        <v>13</v>
      </c>
    </row>
    <row r="58" spans="9:10" x14ac:dyDescent="0.25">
      <c r="I58">
        <v>24</v>
      </c>
      <c r="J58">
        <v>9</v>
      </c>
    </row>
    <row r="59" spans="9:10" x14ac:dyDescent="0.25">
      <c r="I59">
        <v>13</v>
      </c>
      <c r="J59">
        <v>6</v>
      </c>
    </row>
    <row r="60" spans="9:10" x14ac:dyDescent="0.25">
      <c r="I60">
        <v>14</v>
      </c>
      <c r="J60">
        <v>8</v>
      </c>
    </row>
    <row r="61" spans="9:10" x14ac:dyDescent="0.25">
      <c r="I61">
        <v>4</v>
      </c>
    </row>
    <row r="62" spans="9:10" x14ac:dyDescent="0.25">
      <c r="I62">
        <v>3</v>
      </c>
    </row>
    <row r="63" spans="9:10" x14ac:dyDescent="0.25">
      <c r="I63">
        <v>14</v>
      </c>
    </row>
    <row r="64" spans="9:10" x14ac:dyDescent="0.25">
      <c r="I64">
        <v>2</v>
      </c>
    </row>
    <row r="65" spans="9:9" x14ac:dyDescent="0.25">
      <c r="I65">
        <v>18</v>
      </c>
    </row>
    <row r="66" spans="9:9" x14ac:dyDescent="0.25">
      <c r="I66">
        <v>20</v>
      </c>
    </row>
    <row r="67" spans="9:9" x14ac:dyDescent="0.25">
      <c r="I67">
        <v>15</v>
      </c>
    </row>
    <row r="68" spans="9:9" x14ac:dyDescent="0.25">
      <c r="I68">
        <v>12</v>
      </c>
    </row>
    <row r="69" spans="9:9" x14ac:dyDescent="0.25">
      <c r="I69">
        <v>2</v>
      </c>
    </row>
    <row r="70" spans="9:9" x14ac:dyDescent="0.25">
      <c r="I70">
        <v>2</v>
      </c>
    </row>
    <row r="71" spans="9:9" x14ac:dyDescent="0.25">
      <c r="I71">
        <v>14</v>
      </c>
    </row>
    <row r="72" spans="9:9" x14ac:dyDescent="0.25">
      <c r="I72">
        <v>21</v>
      </c>
    </row>
    <row r="73" spans="9:9" x14ac:dyDescent="0.25">
      <c r="I73">
        <v>16</v>
      </c>
    </row>
    <row r="74" spans="9:9" x14ac:dyDescent="0.25">
      <c r="I74">
        <v>18</v>
      </c>
    </row>
    <row r="75" spans="9:9" x14ac:dyDescent="0.25">
      <c r="I75">
        <v>2</v>
      </c>
    </row>
    <row r="76" spans="9:9" x14ac:dyDescent="0.25">
      <c r="I76">
        <v>1</v>
      </c>
    </row>
    <row r="77" spans="9:9" x14ac:dyDescent="0.25">
      <c r="I77">
        <v>2</v>
      </c>
    </row>
    <row r="78" spans="9:9" x14ac:dyDescent="0.25">
      <c r="I78">
        <v>17</v>
      </c>
    </row>
    <row r="79" spans="9:9" x14ac:dyDescent="0.25">
      <c r="I79">
        <v>22</v>
      </c>
    </row>
    <row r="80" spans="9:9" x14ac:dyDescent="0.25">
      <c r="I80">
        <v>25</v>
      </c>
    </row>
    <row r="81" spans="9:9" x14ac:dyDescent="0.25">
      <c r="I81">
        <v>2</v>
      </c>
    </row>
    <row r="82" spans="9:9" x14ac:dyDescent="0.25">
      <c r="I82">
        <v>7</v>
      </c>
    </row>
    <row r="83" spans="9:9" x14ac:dyDescent="0.25">
      <c r="I83">
        <v>18</v>
      </c>
    </row>
    <row r="84" spans="9:9" x14ac:dyDescent="0.25">
      <c r="I84">
        <v>3</v>
      </c>
    </row>
    <row r="85" spans="9:9" x14ac:dyDescent="0.25">
      <c r="I85">
        <v>14</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D5271-5668-4455-9263-E12D0BB142C2}">
  <dimension ref="A1:AA85"/>
  <sheetViews>
    <sheetView workbookViewId="0">
      <selection activeCell="AA3" sqref="AA3"/>
    </sheetView>
  </sheetViews>
  <sheetFormatPr defaultRowHeight="15" x14ac:dyDescent="0.25"/>
  <cols>
    <col min="1" max="1" width="10.42578125" bestFit="1" customWidth="1"/>
    <col min="2" max="2" width="9.7109375" bestFit="1" customWidth="1"/>
    <col min="3" max="3" width="11.28515625" bestFit="1" customWidth="1"/>
    <col min="4" max="4" width="10.28515625" bestFit="1" customWidth="1"/>
    <col min="5" max="5" width="5.85546875" bestFit="1" customWidth="1"/>
    <col min="6" max="6" width="7.42578125" bestFit="1" customWidth="1"/>
    <col min="7" max="7" width="3.85546875" bestFit="1" customWidth="1"/>
    <col min="8" max="8" width="7.85546875" bestFit="1" customWidth="1"/>
    <col min="9" max="10" width="5.85546875" bestFit="1" customWidth="1"/>
  </cols>
  <sheetData>
    <row r="1" spans="1:27" ht="26.25" x14ac:dyDescent="0.4">
      <c r="A1" s="3" t="s">
        <v>1470</v>
      </c>
      <c r="B1" t="s">
        <v>45</v>
      </c>
      <c r="C1" t="s">
        <v>76</v>
      </c>
      <c r="D1" t="s">
        <v>83</v>
      </c>
      <c r="E1" t="s">
        <v>120</v>
      </c>
      <c r="F1" t="s">
        <v>174</v>
      </c>
      <c r="G1" t="s">
        <v>207</v>
      </c>
      <c r="H1" t="s">
        <v>518</v>
      </c>
      <c r="I1" t="s">
        <v>1190</v>
      </c>
      <c r="J1" t="s">
        <v>1472</v>
      </c>
      <c r="Y1" t="s">
        <v>1712</v>
      </c>
      <c r="Z1" t="s">
        <v>518</v>
      </c>
      <c r="AA1" t="s">
        <v>1719</v>
      </c>
    </row>
    <row r="2" spans="1:27" x14ac:dyDescent="0.25">
      <c r="B2" cm="1">
        <f t="array" ref="B2:B18">_xlfn._xlws.FILTER(monsters!$O$2:$O$331,monsters!$E$2:$E$331=DexByType!B1,"")</f>
        <v>20</v>
      </c>
      <c r="C2" cm="1">
        <f t="array" ref="C2:C38">_xlfn._xlws.FILTER(monsters!$O$2:$O$331,monsters!$E$2:$E$331=DexByType!C1,"")</f>
        <v>11</v>
      </c>
      <c r="D2" cm="1">
        <f t="array" ref="D2:D27">_xlfn._xlws.FILTER(monsters!$O$2:$O$331,monsters!$E$2:$E$331=DexByType!D1,"")</f>
        <v>18</v>
      </c>
      <c r="E2" cm="1">
        <f t="array" ref="E2:E30">_xlfn._xlws.FILTER(monsters!$O$2:$O$331,monsters!$E$2:$E$331=DexByType!E1,"")</f>
        <v>15</v>
      </c>
      <c r="F2" cm="1">
        <f t="array" ref="F2:F46">_xlfn._xlws.FILTER(monsters!$O$2:$O$331,monsters!$E$2:$E$331=DexByType!F1,"")</f>
        <v>14</v>
      </c>
      <c r="G2" cm="1">
        <f t="array" ref="G2:G16">_xlfn._xlws.FILTER(monsters!$O$2:$O$331,monsters!$E$2:$E$331=DexByType!G1,"")</f>
        <v>17</v>
      </c>
      <c r="H2" cm="1">
        <f t="array" ref="H2:H19">_xlfn._xlws.FILTER(monsters!$O$2:$O$331,monsters!$E$2:$E$331=DexByType!H1,"")</f>
        <v>17</v>
      </c>
      <c r="I2" cm="1">
        <f t="array" ref="I2:I85">_xlfn._xlws.FILTER(monsters!$O$2:$O$331,monsters!$E$2:$E$331=DexByType!I1,"")</f>
        <v>13</v>
      </c>
      <c r="J2" cm="1">
        <f t="array" ref="J2:J60">_xlfn._xlws.FILTER(monsters!$O$2:$O$331,(monsters!E2:E331&lt;&gt;DexByType!B1)*(monsters!E2:E331&lt;&gt;DexByType!C1)*(monsters!E2:E331&lt;&gt;DexByType!D1)*(monsters!E2:E331&lt;&gt;DexByType!E1)*(monsters!E2:E331&lt;&gt;DexByType!F1)*(monsters!E2:E331&lt;&gt;DexByType!G1)*(monsters!E2:E331&lt;&gt;DexByType!H1)*(monsters!E2:E331&lt;&gt;DexByType!I1),"")</f>
        <v>9</v>
      </c>
      <c r="Y2" t="s">
        <v>1714</v>
      </c>
      <c r="Z2" t="s">
        <v>1472</v>
      </c>
      <c r="AA2" t="s">
        <v>1720</v>
      </c>
    </row>
    <row r="3" spans="1:27" x14ac:dyDescent="0.25">
      <c r="B3">
        <v>12</v>
      </c>
      <c r="C3">
        <v>12</v>
      </c>
      <c r="D3">
        <v>12</v>
      </c>
      <c r="E3">
        <v>17</v>
      </c>
      <c r="F3">
        <v>14</v>
      </c>
      <c r="G3">
        <v>14</v>
      </c>
      <c r="H3">
        <v>13</v>
      </c>
      <c r="I3">
        <v>11</v>
      </c>
      <c r="J3">
        <v>11</v>
      </c>
    </row>
    <row r="4" spans="1:27" x14ac:dyDescent="0.25">
      <c r="B4">
        <v>15</v>
      </c>
      <c r="C4">
        <v>8</v>
      </c>
      <c r="D4">
        <v>16</v>
      </c>
      <c r="E4">
        <v>15</v>
      </c>
      <c r="F4">
        <v>14</v>
      </c>
      <c r="G4">
        <v>14</v>
      </c>
      <c r="H4">
        <v>15</v>
      </c>
      <c r="I4">
        <v>14</v>
      </c>
      <c r="J4">
        <v>15</v>
      </c>
    </row>
    <row r="5" spans="1:27" x14ac:dyDescent="0.25">
      <c r="B5">
        <v>8</v>
      </c>
      <c r="C5">
        <v>16</v>
      </c>
      <c r="D5">
        <v>12</v>
      </c>
      <c r="E5">
        <v>16</v>
      </c>
      <c r="F5">
        <v>14</v>
      </c>
      <c r="G5">
        <v>14</v>
      </c>
      <c r="H5">
        <v>16</v>
      </c>
      <c r="I5">
        <v>16</v>
      </c>
      <c r="J5">
        <v>14</v>
      </c>
    </row>
    <row r="6" spans="1:27" x14ac:dyDescent="0.25">
      <c r="B6">
        <v>12</v>
      </c>
      <c r="C6">
        <v>11</v>
      </c>
      <c r="D6">
        <v>10</v>
      </c>
      <c r="E6">
        <v>15</v>
      </c>
      <c r="F6">
        <v>10</v>
      </c>
      <c r="G6">
        <v>12</v>
      </c>
      <c r="H6">
        <v>8</v>
      </c>
      <c r="I6">
        <v>14</v>
      </c>
      <c r="J6">
        <v>8</v>
      </c>
    </row>
    <row r="7" spans="1:27" x14ac:dyDescent="0.25">
      <c r="B7">
        <v>17</v>
      </c>
      <c r="C7">
        <v>11</v>
      </c>
      <c r="D7">
        <v>12</v>
      </c>
      <c r="E7">
        <v>11</v>
      </c>
      <c r="F7">
        <v>10</v>
      </c>
      <c r="G7">
        <v>15</v>
      </c>
      <c r="H7">
        <v>10</v>
      </c>
      <c r="I7">
        <v>11</v>
      </c>
      <c r="J7">
        <v>6</v>
      </c>
    </row>
    <row r="8" spans="1:27" x14ac:dyDescent="0.25">
      <c r="B8">
        <v>11</v>
      </c>
      <c r="C8">
        <v>12</v>
      </c>
      <c r="D8">
        <v>14</v>
      </c>
      <c r="E8">
        <v>16</v>
      </c>
      <c r="F8">
        <v>10</v>
      </c>
      <c r="G8">
        <v>15</v>
      </c>
      <c r="H8">
        <v>14</v>
      </c>
      <c r="I8">
        <v>15</v>
      </c>
      <c r="J8">
        <v>5</v>
      </c>
    </row>
    <row r="9" spans="1:27" x14ac:dyDescent="0.25">
      <c r="B9">
        <v>19</v>
      </c>
      <c r="C9">
        <v>14</v>
      </c>
      <c r="D9">
        <v>12</v>
      </c>
      <c r="E9">
        <v>15</v>
      </c>
      <c r="F9">
        <v>10</v>
      </c>
      <c r="G9">
        <v>15</v>
      </c>
      <c r="H9">
        <v>16</v>
      </c>
      <c r="I9">
        <v>12</v>
      </c>
      <c r="J9">
        <v>10</v>
      </c>
    </row>
    <row r="10" spans="1:27" x14ac:dyDescent="0.25">
      <c r="B10">
        <v>15</v>
      </c>
      <c r="C10">
        <v>18</v>
      </c>
      <c r="D10">
        <v>15</v>
      </c>
      <c r="E10">
        <v>12</v>
      </c>
      <c r="F10">
        <v>10</v>
      </c>
      <c r="G10">
        <v>12</v>
      </c>
      <c r="H10">
        <v>12</v>
      </c>
      <c r="I10">
        <v>14</v>
      </c>
      <c r="J10">
        <v>9</v>
      </c>
    </row>
    <row r="11" spans="1:27" x14ac:dyDescent="0.25">
      <c r="B11">
        <v>14</v>
      </c>
      <c r="C11">
        <v>19</v>
      </c>
      <c r="D11">
        <v>12</v>
      </c>
      <c r="E11">
        <v>12</v>
      </c>
      <c r="F11">
        <v>10</v>
      </c>
      <c r="G11">
        <v>12</v>
      </c>
      <c r="H11">
        <v>11</v>
      </c>
      <c r="I11">
        <v>11</v>
      </c>
      <c r="J11">
        <v>15</v>
      </c>
    </row>
    <row r="12" spans="1:27" x14ac:dyDescent="0.25">
      <c r="B12">
        <v>13</v>
      </c>
      <c r="C12">
        <v>15</v>
      </c>
      <c r="D12">
        <v>14</v>
      </c>
      <c r="E12">
        <v>17</v>
      </c>
      <c r="F12">
        <v>10</v>
      </c>
      <c r="G12">
        <v>14</v>
      </c>
      <c r="H12">
        <v>14</v>
      </c>
      <c r="I12">
        <v>12</v>
      </c>
      <c r="J12">
        <v>10</v>
      </c>
    </row>
    <row r="13" spans="1:27" x14ac:dyDescent="0.25">
      <c r="B13">
        <v>12</v>
      </c>
      <c r="C13">
        <v>15</v>
      </c>
      <c r="D13">
        <v>11</v>
      </c>
      <c r="E13">
        <v>17</v>
      </c>
      <c r="F13">
        <v>10</v>
      </c>
      <c r="G13">
        <v>16</v>
      </c>
      <c r="H13">
        <v>16</v>
      </c>
      <c r="I13">
        <v>8</v>
      </c>
      <c r="J13">
        <v>20</v>
      </c>
    </row>
    <row r="14" spans="1:27" x14ac:dyDescent="0.25">
      <c r="B14">
        <v>11</v>
      </c>
      <c r="C14">
        <v>13</v>
      </c>
      <c r="D14">
        <v>14</v>
      </c>
      <c r="E14">
        <v>14</v>
      </c>
      <c r="F14">
        <v>10</v>
      </c>
      <c r="G14">
        <v>13</v>
      </c>
      <c r="H14">
        <v>18</v>
      </c>
      <c r="I14">
        <v>15</v>
      </c>
      <c r="J14">
        <v>14</v>
      </c>
    </row>
    <row r="15" spans="1:27" x14ac:dyDescent="0.25">
      <c r="B15">
        <v>13</v>
      </c>
      <c r="C15">
        <v>13</v>
      </c>
      <c r="D15">
        <v>14</v>
      </c>
      <c r="E15">
        <v>17</v>
      </c>
      <c r="F15">
        <v>10</v>
      </c>
      <c r="G15">
        <v>18</v>
      </c>
      <c r="H15">
        <v>14</v>
      </c>
      <c r="I15">
        <v>14</v>
      </c>
      <c r="J15">
        <v>12</v>
      </c>
    </row>
    <row r="16" spans="1:27" x14ac:dyDescent="0.25">
      <c r="B16">
        <v>14</v>
      </c>
      <c r="C16">
        <v>12</v>
      </c>
      <c r="D16">
        <v>12</v>
      </c>
      <c r="E16">
        <v>17</v>
      </c>
      <c r="F16">
        <v>10</v>
      </c>
      <c r="G16">
        <v>13</v>
      </c>
      <c r="H16">
        <v>28</v>
      </c>
      <c r="I16">
        <v>11</v>
      </c>
      <c r="J16">
        <v>18</v>
      </c>
    </row>
    <row r="17" spans="2:10" x14ac:dyDescent="0.25">
      <c r="B17">
        <v>14</v>
      </c>
      <c r="C17">
        <v>11</v>
      </c>
      <c r="D17">
        <v>16</v>
      </c>
      <c r="E17">
        <v>13</v>
      </c>
      <c r="F17">
        <v>10</v>
      </c>
      <c r="H17">
        <v>16</v>
      </c>
      <c r="I17">
        <v>10</v>
      </c>
      <c r="J17">
        <v>8</v>
      </c>
    </row>
    <row r="18" spans="2:10" x14ac:dyDescent="0.25">
      <c r="B18">
        <v>10</v>
      </c>
      <c r="C18">
        <v>16</v>
      </c>
      <c r="D18">
        <v>18</v>
      </c>
      <c r="E18">
        <v>5</v>
      </c>
      <c r="F18">
        <v>12</v>
      </c>
      <c r="H18">
        <v>6</v>
      </c>
      <c r="I18">
        <v>16</v>
      </c>
      <c r="J18">
        <v>9</v>
      </c>
    </row>
    <row r="19" spans="2:10" x14ac:dyDescent="0.25">
      <c r="C19">
        <v>17</v>
      </c>
      <c r="D19">
        <v>10</v>
      </c>
      <c r="E19">
        <v>20</v>
      </c>
      <c r="F19">
        <v>12</v>
      </c>
      <c r="H19">
        <v>6</v>
      </c>
      <c r="I19">
        <v>15</v>
      </c>
      <c r="J19">
        <v>9</v>
      </c>
    </row>
    <row r="20" spans="2:10" x14ac:dyDescent="0.25">
      <c r="C20">
        <v>15</v>
      </c>
      <c r="D20">
        <v>10</v>
      </c>
      <c r="E20">
        <v>10</v>
      </c>
      <c r="F20">
        <v>12</v>
      </c>
      <c r="I20">
        <v>10</v>
      </c>
      <c r="J20">
        <v>9</v>
      </c>
    </row>
    <row r="21" spans="2:10" x14ac:dyDescent="0.25">
      <c r="C21">
        <v>12</v>
      </c>
      <c r="D21">
        <v>14</v>
      </c>
      <c r="E21">
        <v>15</v>
      </c>
      <c r="F21">
        <v>12</v>
      </c>
      <c r="I21">
        <v>15</v>
      </c>
      <c r="J21">
        <v>1</v>
      </c>
    </row>
    <row r="22" spans="2:10" x14ac:dyDescent="0.25">
      <c r="C22">
        <v>11</v>
      </c>
      <c r="D22">
        <v>15</v>
      </c>
      <c r="E22">
        <v>15</v>
      </c>
      <c r="F22">
        <v>10</v>
      </c>
      <c r="I22">
        <v>9</v>
      </c>
      <c r="J22">
        <v>1</v>
      </c>
    </row>
    <row r="23" spans="2:10" x14ac:dyDescent="0.25">
      <c r="C23">
        <v>12</v>
      </c>
      <c r="D23">
        <v>12</v>
      </c>
      <c r="E23">
        <v>11</v>
      </c>
      <c r="F23">
        <v>14</v>
      </c>
      <c r="I23">
        <v>10</v>
      </c>
      <c r="J23">
        <v>3</v>
      </c>
    </row>
    <row r="24" spans="2:10" x14ac:dyDescent="0.25">
      <c r="C24">
        <v>16</v>
      </c>
      <c r="D24">
        <v>14</v>
      </c>
      <c r="E24">
        <v>14</v>
      </c>
      <c r="F24">
        <v>14</v>
      </c>
      <c r="I24">
        <v>13</v>
      </c>
      <c r="J24">
        <v>8</v>
      </c>
    </row>
    <row r="25" spans="2:10" x14ac:dyDescent="0.25">
      <c r="C25">
        <v>7</v>
      </c>
      <c r="D25">
        <v>16</v>
      </c>
      <c r="E25">
        <v>17</v>
      </c>
      <c r="F25">
        <v>14</v>
      </c>
      <c r="I25">
        <v>14</v>
      </c>
      <c r="J25">
        <v>11</v>
      </c>
    </row>
    <row r="26" spans="2:10" x14ac:dyDescent="0.25">
      <c r="C26">
        <v>13</v>
      </c>
      <c r="D26">
        <v>11</v>
      </c>
      <c r="E26">
        <v>17</v>
      </c>
      <c r="F26">
        <v>14</v>
      </c>
      <c r="I26">
        <v>10</v>
      </c>
      <c r="J26">
        <v>6</v>
      </c>
    </row>
    <row r="27" spans="2:10" x14ac:dyDescent="0.25">
      <c r="C27">
        <v>10</v>
      </c>
      <c r="D27">
        <v>13</v>
      </c>
      <c r="E27">
        <v>11</v>
      </c>
      <c r="F27">
        <v>12</v>
      </c>
      <c r="I27">
        <v>16</v>
      </c>
      <c r="J27">
        <v>14</v>
      </c>
    </row>
    <row r="28" spans="2:10" x14ac:dyDescent="0.25">
      <c r="C28">
        <v>12</v>
      </c>
      <c r="E28">
        <v>17</v>
      </c>
      <c r="F28">
        <v>12</v>
      </c>
      <c r="I28">
        <v>10</v>
      </c>
      <c r="J28">
        <v>12</v>
      </c>
    </row>
    <row r="29" spans="2:10" x14ac:dyDescent="0.25">
      <c r="C29">
        <v>16</v>
      </c>
      <c r="E29">
        <v>17</v>
      </c>
      <c r="F29">
        <v>12</v>
      </c>
      <c r="I29">
        <v>14</v>
      </c>
      <c r="J29">
        <v>18</v>
      </c>
    </row>
    <row r="30" spans="2:10" x14ac:dyDescent="0.25">
      <c r="C30">
        <v>11</v>
      </c>
      <c r="E30">
        <v>15</v>
      </c>
      <c r="F30">
        <v>12</v>
      </c>
      <c r="I30">
        <v>14</v>
      </c>
      <c r="J30">
        <v>8</v>
      </c>
    </row>
    <row r="31" spans="2:10" x14ac:dyDescent="0.25">
      <c r="C31">
        <v>10</v>
      </c>
      <c r="F31">
        <v>14</v>
      </c>
      <c r="I31">
        <v>13</v>
      </c>
      <c r="J31">
        <v>15</v>
      </c>
    </row>
    <row r="32" spans="2:10" x14ac:dyDescent="0.25">
      <c r="C32">
        <v>10</v>
      </c>
      <c r="F32">
        <v>15</v>
      </c>
      <c r="I32">
        <v>9</v>
      </c>
      <c r="J32">
        <v>9</v>
      </c>
    </row>
    <row r="33" spans="3:10" x14ac:dyDescent="0.25">
      <c r="C33">
        <v>16</v>
      </c>
      <c r="F33">
        <v>15</v>
      </c>
      <c r="I33">
        <v>10</v>
      </c>
      <c r="J33">
        <v>6</v>
      </c>
    </row>
    <row r="34" spans="3:10" x14ac:dyDescent="0.25">
      <c r="C34">
        <v>15</v>
      </c>
      <c r="F34">
        <v>10</v>
      </c>
      <c r="I34">
        <v>13</v>
      </c>
      <c r="J34">
        <v>8</v>
      </c>
    </row>
    <row r="35" spans="3:10" x14ac:dyDescent="0.25">
      <c r="C35">
        <v>14</v>
      </c>
      <c r="F35">
        <v>10</v>
      </c>
      <c r="I35">
        <v>13</v>
      </c>
      <c r="J35">
        <v>11</v>
      </c>
    </row>
    <row r="36" spans="3:10" x14ac:dyDescent="0.25">
      <c r="C36">
        <v>13</v>
      </c>
      <c r="F36">
        <v>10</v>
      </c>
      <c r="I36">
        <v>14</v>
      </c>
      <c r="J36">
        <v>15</v>
      </c>
    </row>
    <row r="37" spans="3:10" x14ac:dyDescent="0.25">
      <c r="C37">
        <v>15</v>
      </c>
      <c r="F37">
        <v>10</v>
      </c>
      <c r="I37">
        <v>12</v>
      </c>
      <c r="J37">
        <v>20</v>
      </c>
    </row>
    <row r="38" spans="3:10" x14ac:dyDescent="0.25">
      <c r="C38">
        <v>10</v>
      </c>
      <c r="F38">
        <v>10</v>
      </c>
      <c r="I38">
        <v>13</v>
      </c>
      <c r="J38">
        <v>8</v>
      </c>
    </row>
    <row r="39" spans="3:10" x14ac:dyDescent="0.25">
      <c r="F39">
        <v>10</v>
      </c>
      <c r="I39">
        <v>16</v>
      </c>
      <c r="J39">
        <v>8</v>
      </c>
    </row>
    <row r="40" spans="3:10" x14ac:dyDescent="0.25">
      <c r="F40">
        <v>10</v>
      </c>
      <c r="I40">
        <v>13</v>
      </c>
      <c r="J40">
        <v>8</v>
      </c>
    </row>
    <row r="41" spans="3:10" x14ac:dyDescent="0.25">
      <c r="F41">
        <v>10</v>
      </c>
      <c r="I41">
        <v>12</v>
      </c>
      <c r="J41">
        <v>22</v>
      </c>
    </row>
    <row r="42" spans="3:10" x14ac:dyDescent="0.25">
      <c r="F42">
        <v>10</v>
      </c>
      <c r="I42">
        <v>11</v>
      </c>
      <c r="J42">
        <v>17</v>
      </c>
    </row>
    <row r="43" spans="3:10" x14ac:dyDescent="0.25">
      <c r="F43">
        <v>10</v>
      </c>
      <c r="I43">
        <v>16</v>
      </c>
      <c r="J43">
        <v>15</v>
      </c>
    </row>
    <row r="44" spans="3:10" x14ac:dyDescent="0.25">
      <c r="F44">
        <v>10</v>
      </c>
      <c r="I44">
        <v>13</v>
      </c>
      <c r="J44">
        <v>10</v>
      </c>
    </row>
    <row r="45" spans="3:10" x14ac:dyDescent="0.25">
      <c r="F45">
        <v>10</v>
      </c>
      <c r="I45">
        <v>18</v>
      </c>
      <c r="J45">
        <v>15</v>
      </c>
    </row>
    <row r="46" spans="3:10" x14ac:dyDescent="0.25">
      <c r="F46">
        <v>10</v>
      </c>
      <c r="I46">
        <v>14</v>
      </c>
      <c r="J46">
        <v>9</v>
      </c>
    </row>
    <row r="47" spans="3:10" x14ac:dyDescent="0.25">
      <c r="I47">
        <v>17</v>
      </c>
      <c r="J47">
        <v>14</v>
      </c>
    </row>
    <row r="48" spans="3:10" x14ac:dyDescent="0.25">
      <c r="I48">
        <v>16</v>
      </c>
      <c r="J48">
        <v>8</v>
      </c>
    </row>
    <row r="49" spans="9:10" x14ac:dyDescent="0.25">
      <c r="I49">
        <v>10</v>
      </c>
      <c r="J49">
        <v>13</v>
      </c>
    </row>
    <row r="50" spans="9:10" x14ac:dyDescent="0.25">
      <c r="I50">
        <v>16</v>
      </c>
      <c r="J50">
        <v>12</v>
      </c>
    </row>
    <row r="51" spans="9:10" x14ac:dyDescent="0.25">
      <c r="I51">
        <v>7</v>
      </c>
      <c r="J51">
        <v>14</v>
      </c>
    </row>
    <row r="52" spans="9:10" x14ac:dyDescent="0.25">
      <c r="I52">
        <v>14</v>
      </c>
      <c r="J52">
        <v>17</v>
      </c>
    </row>
    <row r="53" spans="9:10" x14ac:dyDescent="0.25">
      <c r="I53">
        <v>13</v>
      </c>
      <c r="J53">
        <v>18</v>
      </c>
    </row>
    <row r="54" spans="9:10" x14ac:dyDescent="0.25">
      <c r="I54">
        <v>15</v>
      </c>
      <c r="J54">
        <v>15</v>
      </c>
    </row>
    <row r="55" spans="9:10" x14ac:dyDescent="0.25">
      <c r="I55">
        <v>14</v>
      </c>
      <c r="J55">
        <v>15</v>
      </c>
    </row>
    <row r="56" spans="9:10" x14ac:dyDescent="0.25">
      <c r="I56">
        <v>15</v>
      </c>
      <c r="J56">
        <v>13</v>
      </c>
    </row>
    <row r="57" spans="9:10" x14ac:dyDescent="0.25">
      <c r="I57">
        <v>11</v>
      </c>
      <c r="J57">
        <v>16</v>
      </c>
    </row>
    <row r="58" spans="9:10" x14ac:dyDescent="0.25">
      <c r="I58">
        <v>9</v>
      </c>
      <c r="J58">
        <v>11</v>
      </c>
    </row>
    <row r="59" spans="9:10" x14ac:dyDescent="0.25">
      <c r="I59">
        <v>14</v>
      </c>
      <c r="J59">
        <v>14</v>
      </c>
    </row>
    <row r="60" spans="9:10" x14ac:dyDescent="0.25">
      <c r="I60">
        <v>10</v>
      </c>
      <c r="J60">
        <v>18</v>
      </c>
    </row>
    <row r="61" spans="9:10" x14ac:dyDescent="0.25">
      <c r="I61">
        <v>15</v>
      </c>
    </row>
    <row r="62" spans="9:10" x14ac:dyDescent="0.25">
      <c r="I62">
        <v>13</v>
      </c>
    </row>
    <row r="63" spans="9:10" x14ac:dyDescent="0.25">
      <c r="I63">
        <v>16</v>
      </c>
    </row>
    <row r="64" spans="9:10" x14ac:dyDescent="0.25">
      <c r="I64">
        <v>16</v>
      </c>
    </row>
    <row r="65" spans="9:9" x14ac:dyDescent="0.25">
      <c r="I65">
        <v>15</v>
      </c>
    </row>
    <row r="66" spans="9:9" x14ac:dyDescent="0.25">
      <c r="I66">
        <v>14</v>
      </c>
    </row>
    <row r="67" spans="9:9" x14ac:dyDescent="0.25">
      <c r="I67">
        <v>10</v>
      </c>
    </row>
    <row r="68" spans="9:9" x14ac:dyDescent="0.25">
      <c r="I68">
        <v>15</v>
      </c>
    </row>
    <row r="69" spans="9:9" x14ac:dyDescent="0.25">
      <c r="I69">
        <v>11</v>
      </c>
    </row>
    <row r="70" spans="9:9" x14ac:dyDescent="0.25">
      <c r="I70">
        <v>14</v>
      </c>
    </row>
    <row r="71" spans="9:9" x14ac:dyDescent="0.25">
      <c r="I71">
        <v>15</v>
      </c>
    </row>
    <row r="72" spans="9:9" x14ac:dyDescent="0.25">
      <c r="I72">
        <v>8</v>
      </c>
    </row>
    <row r="73" spans="9:9" x14ac:dyDescent="0.25">
      <c r="I73">
        <v>13</v>
      </c>
    </row>
    <row r="74" spans="9:9" x14ac:dyDescent="0.25">
      <c r="I74">
        <v>17</v>
      </c>
    </row>
    <row r="75" spans="9:9" x14ac:dyDescent="0.25">
      <c r="I75">
        <v>11</v>
      </c>
    </row>
    <row r="76" spans="9:9" x14ac:dyDescent="0.25">
      <c r="I76">
        <v>12</v>
      </c>
    </row>
    <row r="77" spans="9:9" x14ac:dyDescent="0.25">
      <c r="I77">
        <v>14</v>
      </c>
    </row>
    <row r="78" spans="9:9" x14ac:dyDescent="0.25">
      <c r="I78">
        <v>16</v>
      </c>
    </row>
    <row r="79" spans="9:9" x14ac:dyDescent="0.25">
      <c r="I79">
        <v>9</v>
      </c>
    </row>
    <row r="80" spans="9:9" x14ac:dyDescent="0.25">
      <c r="I80">
        <v>10</v>
      </c>
    </row>
    <row r="81" spans="9:9" x14ac:dyDescent="0.25">
      <c r="I81">
        <v>15</v>
      </c>
    </row>
    <row r="82" spans="9:9" x14ac:dyDescent="0.25">
      <c r="I82">
        <v>10</v>
      </c>
    </row>
    <row r="83" spans="9:9" x14ac:dyDescent="0.25">
      <c r="I83">
        <v>12</v>
      </c>
    </row>
    <row r="84" spans="9:9" x14ac:dyDescent="0.25">
      <c r="I84">
        <v>16</v>
      </c>
    </row>
    <row r="85" spans="9:9" x14ac:dyDescent="0.25">
      <c r="I85">
        <v>15</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88AAA-3AD5-4F35-AEC2-9E255C517F82}">
  <dimension ref="A1:AA85"/>
  <sheetViews>
    <sheetView workbookViewId="0">
      <selection activeCell="AE11" sqref="AE11"/>
    </sheetView>
  </sheetViews>
  <sheetFormatPr defaultRowHeight="15" x14ac:dyDescent="0.25"/>
  <cols>
    <col min="1" max="1" width="10.42578125" bestFit="1" customWidth="1"/>
    <col min="2" max="2" width="9.7109375" bestFit="1" customWidth="1"/>
    <col min="3" max="3" width="11.28515625" bestFit="1" customWidth="1"/>
    <col min="4" max="4" width="10.28515625" bestFit="1" customWidth="1"/>
    <col min="5" max="5" width="5.85546875" bestFit="1" customWidth="1"/>
    <col min="6" max="6" width="7.42578125" bestFit="1" customWidth="1"/>
    <col min="7" max="7" width="3.85546875" bestFit="1" customWidth="1"/>
    <col min="8" max="8" width="7.85546875" bestFit="1" customWidth="1"/>
    <col min="9" max="10" width="5.85546875" bestFit="1" customWidth="1"/>
    <col min="26" max="26" width="11.28515625" bestFit="1" customWidth="1"/>
  </cols>
  <sheetData>
    <row r="1" spans="1:27" ht="26.25" x14ac:dyDescent="0.4">
      <c r="A1" s="3" t="s">
        <v>1470</v>
      </c>
      <c r="B1" t="s">
        <v>45</v>
      </c>
      <c r="C1" t="s">
        <v>76</v>
      </c>
      <c r="D1" t="s">
        <v>83</v>
      </c>
      <c r="E1" t="s">
        <v>120</v>
      </c>
      <c r="F1" t="s">
        <v>174</v>
      </c>
      <c r="G1" t="s">
        <v>207</v>
      </c>
      <c r="H1" t="s">
        <v>518</v>
      </c>
      <c r="I1" t="s">
        <v>1190</v>
      </c>
      <c r="J1" t="s">
        <v>1472</v>
      </c>
      <c r="Y1" t="s">
        <v>1712</v>
      </c>
      <c r="Z1" t="s">
        <v>76</v>
      </c>
      <c r="AA1" t="s">
        <v>1721</v>
      </c>
    </row>
    <row r="2" spans="1:27" x14ac:dyDescent="0.25">
      <c r="B2" cm="1">
        <f t="array" ref="B2:B18">_xlfn._xlws.FILTER(monsters!$P$2:$P$331,monsters!$E$2:$E$331=DexByType!B1,"")</f>
        <v>14</v>
      </c>
      <c r="C2" cm="1">
        <f t="array" ref="C2:C38">_xlfn._xlws.FILTER(monsters!$P$2:$P$331,monsters!$E$2:$E$331=DexByType!C1,"")</f>
        <v>14</v>
      </c>
      <c r="D2" cm="1">
        <f t="array" ref="D2:D27">_xlfn._xlws.FILTER(monsters!$P$2:$P$331,monsters!$E$2:$E$331=DexByType!D1,"")</f>
        <v>14</v>
      </c>
      <c r="E2" cm="1">
        <f t="array" ref="E2:E30">_xlfn._xlws.FILTER(monsters!$P$2:$P$331,monsters!$E$2:$E$331=DexByType!E1,"")</f>
        <v>22</v>
      </c>
      <c r="F2" cm="1">
        <f t="array" ref="F2:F46">_xlfn._xlws.FILTER(monsters!$P$2:$P$331,monsters!$E$2:$E$331=DexByType!F1,"")</f>
        <v>13</v>
      </c>
      <c r="G2" cm="1">
        <f t="array" ref="G2:G16">_xlfn._xlws.FILTER(monsters!$P$2:$P$331,monsters!$E$2:$E$331=DexByType!G1,"")</f>
        <v>12</v>
      </c>
      <c r="H2" cm="1">
        <f t="array" ref="H2:H19">_xlfn._xlws.FILTER(monsters!$P$2:$P$331,monsters!$E$2:$E$331=DexByType!H1,"")</f>
        <v>10</v>
      </c>
      <c r="I2" cm="1">
        <f t="array" ref="I2:I85">_xlfn._xlws.FILTER(monsters!$P$2:$P$331,monsters!$E$2:$E$331=DexByType!I1,"")</f>
        <v>17</v>
      </c>
      <c r="J2" cm="1">
        <f t="array" ref="J2:J60">_xlfn._xlws.FILTER(monsters!$P$2:$P$331,(monsters!E2:E331&lt;&gt;DexByType!B1)*(monsters!E2:E331&lt;&gt;DexByType!C1)*(monsters!E2:E331&lt;&gt;DexByType!D1)*(monsters!E2:E331&lt;&gt;DexByType!E1)*(monsters!E2:E331&lt;&gt;DexByType!F1)*(monsters!E2:E331&lt;&gt;DexByType!G1)*(monsters!E2:E331&lt;&gt;DexByType!H1)*(monsters!E2:E331&lt;&gt;DexByType!I1),"")</f>
        <v>15</v>
      </c>
      <c r="Y2" t="s">
        <v>1714</v>
      </c>
      <c r="Z2" t="s">
        <v>1190</v>
      </c>
      <c r="AA2" t="s">
        <v>1722</v>
      </c>
    </row>
    <row r="3" spans="1:27" x14ac:dyDescent="0.25">
      <c r="B3">
        <v>15</v>
      </c>
      <c r="C3">
        <v>12</v>
      </c>
      <c r="D3">
        <v>12</v>
      </c>
      <c r="E3">
        <v>18</v>
      </c>
      <c r="F3">
        <v>17</v>
      </c>
      <c r="G3">
        <v>14</v>
      </c>
      <c r="H3">
        <v>10</v>
      </c>
      <c r="I3">
        <v>15</v>
      </c>
      <c r="J3">
        <v>13</v>
      </c>
    </row>
    <row r="4" spans="1:27" x14ac:dyDescent="0.25">
      <c r="B4">
        <v>22</v>
      </c>
      <c r="C4">
        <v>15</v>
      </c>
      <c r="D4">
        <v>14</v>
      </c>
      <c r="E4">
        <v>15</v>
      </c>
      <c r="F4">
        <v>21</v>
      </c>
      <c r="G4">
        <v>13</v>
      </c>
      <c r="H4">
        <v>10</v>
      </c>
      <c r="I4">
        <v>14</v>
      </c>
      <c r="J4">
        <v>11</v>
      </c>
    </row>
    <row r="5" spans="1:27" x14ac:dyDescent="0.25">
      <c r="B5">
        <v>20</v>
      </c>
      <c r="C5">
        <v>18</v>
      </c>
      <c r="D5">
        <v>17</v>
      </c>
      <c r="E5">
        <v>18</v>
      </c>
      <c r="F5">
        <v>25</v>
      </c>
      <c r="G5">
        <v>14</v>
      </c>
      <c r="H5">
        <v>16</v>
      </c>
      <c r="I5">
        <v>13</v>
      </c>
      <c r="J5">
        <v>10</v>
      </c>
    </row>
    <row r="6" spans="1:27" x14ac:dyDescent="0.25">
      <c r="B6">
        <v>24</v>
      </c>
      <c r="C6">
        <v>21</v>
      </c>
      <c r="D6">
        <v>10</v>
      </c>
      <c r="E6">
        <v>18</v>
      </c>
      <c r="F6">
        <v>15</v>
      </c>
      <c r="G6">
        <v>11</v>
      </c>
      <c r="H6">
        <v>15</v>
      </c>
      <c r="I6">
        <v>11</v>
      </c>
      <c r="J6">
        <v>11</v>
      </c>
    </row>
    <row r="7" spans="1:27" x14ac:dyDescent="0.25">
      <c r="B7">
        <v>16</v>
      </c>
      <c r="C7">
        <v>19</v>
      </c>
      <c r="D7">
        <v>10</v>
      </c>
      <c r="E7">
        <v>12</v>
      </c>
      <c r="F7">
        <v>19</v>
      </c>
      <c r="G7">
        <v>10</v>
      </c>
      <c r="H7">
        <v>17</v>
      </c>
      <c r="I7">
        <v>16</v>
      </c>
      <c r="J7">
        <v>15</v>
      </c>
    </row>
    <row r="8" spans="1:27" x14ac:dyDescent="0.25">
      <c r="B8">
        <v>16</v>
      </c>
      <c r="C8">
        <v>12</v>
      </c>
      <c r="D8">
        <v>12</v>
      </c>
      <c r="E8">
        <v>18</v>
      </c>
      <c r="F8">
        <v>23</v>
      </c>
      <c r="G8">
        <v>10</v>
      </c>
      <c r="H8">
        <v>13</v>
      </c>
      <c r="I8">
        <v>8</v>
      </c>
      <c r="J8">
        <v>16</v>
      </c>
    </row>
    <row r="9" spans="1:27" x14ac:dyDescent="0.25">
      <c r="B9">
        <v>14</v>
      </c>
      <c r="C9">
        <v>14</v>
      </c>
      <c r="D9">
        <v>13</v>
      </c>
      <c r="E9">
        <v>21</v>
      </c>
      <c r="F9">
        <v>27</v>
      </c>
      <c r="G9">
        <v>10</v>
      </c>
      <c r="H9">
        <v>15</v>
      </c>
      <c r="I9">
        <v>14</v>
      </c>
      <c r="J9">
        <v>16</v>
      </c>
    </row>
    <row r="10" spans="1:27" x14ac:dyDescent="0.25">
      <c r="B10">
        <v>12</v>
      </c>
      <c r="C10">
        <v>14</v>
      </c>
      <c r="D10">
        <v>16</v>
      </c>
      <c r="E10">
        <v>11</v>
      </c>
      <c r="F10">
        <v>13</v>
      </c>
      <c r="G10">
        <v>16</v>
      </c>
      <c r="H10">
        <v>15</v>
      </c>
      <c r="I10">
        <v>10</v>
      </c>
      <c r="J10">
        <v>18</v>
      </c>
    </row>
    <row r="11" spans="1:27" x14ac:dyDescent="0.25">
      <c r="B11">
        <v>10</v>
      </c>
      <c r="C11">
        <v>18</v>
      </c>
      <c r="D11">
        <v>12</v>
      </c>
      <c r="E11">
        <v>14</v>
      </c>
      <c r="F11">
        <v>17</v>
      </c>
      <c r="G11">
        <v>12</v>
      </c>
      <c r="H11">
        <v>15</v>
      </c>
      <c r="I11">
        <v>14</v>
      </c>
      <c r="J11">
        <v>12</v>
      </c>
    </row>
    <row r="12" spans="1:27" x14ac:dyDescent="0.25">
      <c r="B12">
        <v>10</v>
      </c>
      <c r="C12">
        <v>13</v>
      </c>
      <c r="D12">
        <v>16</v>
      </c>
      <c r="E12">
        <v>20</v>
      </c>
      <c r="F12">
        <v>21</v>
      </c>
      <c r="G12">
        <v>14</v>
      </c>
      <c r="H12">
        <v>11</v>
      </c>
      <c r="I12">
        <v>15</v>
      </c>
      <c r="J12">
        <v>22</v>
      </c>
    </row>
    <row r="13" spans="1:27" x14ac:dyDescent="0.25">
      <c r="B13">
        <v>12</v>
      </c>
      <c r="C13">
        <v>16</v>
      </c>
      <c r="D13">
        <v>14</v>
      </c>
      <c r="E13">
        <v>21</v>
      </c>
      <c r="F13">
        <v>25</v>
      </c>
      <c r="G13">
        <v>11</v>
      </c>
      <c r="H13">
        <v>16</v>
      </c>
      <c r="I13">
        <v>17</v>
      </c>
      <c r="J13">
        <v>17</v>
      </c>
    </row>
    <row r="14" spans="1:27" x14ac:dyDescent="0.25">
      <c r="B14">
        <v>10</v>
      </c>
      <c r="C14">
        <v>12</v>
      </c>
      <c r="D14">
        <v>11</v>
      </c>
      <c r="E14">
        <v>18</v>
      </c>
      <c r="F14">
        <v>15</v>
      </c>
      <c r="G14">
        <v>16</v>
      </c>
      <c r="H14">
        <v>18</v>
      </c>
      <c r="I14">
        <v>10</v>
      </c>
      <c r="J14">
        <v>11</v>
      </c>
    </row>
    <row r="15" spans="1:27" x14ac:dyDescent="0.25">
      <c r="B15">
        <v>12</v>
      </c>
      <c r="C15">
        <v>13</v>
      </c>
      <c r="D15">
        <v>12</v>
      </c>
      <c r="E15">
        <v>13</v>
      </c>
      <c r="F15">
        <v>19</v>
      </c>
      <c r="G15">
        <v>10</v>
      </c>
      <c r="H15">
        <v>16</v>
      </c>
      <c r="I15">
        <v>12</v>
      </c>
      <c r="J15">
        <v>13</v>
      </c>
    </row>
    <row r="16" spans="1:27" x14ac:dyDescent="0.25">
      <c r="B16">
        <v>15</v>
      </c>
      <c r="C16">
        <v>20</v>
      </c>
      <c r="D16">
        <v>11</v>
      </c>
      <c r="E16">
        <v>13</v>
      </c>
      <c r="F16">
        <v>23</v>
      </c>
      <c r="G16">
        <v>13</v>
      </c>
      <c r="H16">
        <v>10</v>
      </c>
      <c r="I16">
        <v>12</v>
      </c>
      <c r="J16">
        <v>18</v>
      </c>
    </row>
    <row r="17" spans="2:10" x14ac:dyDescent="0.25">
      <c r="B17">
        <v>18</v>
      </c>
      <c r="C17">
        <v>26</v>
      </c>
      <c r="D17">
        <v>12</v>
      </c>
      <c r="E17">
        <v>15</v>
      </c>
      <c r="F17">
        <v>27</v>
      </c>
      <c r="H17">
        <v>16</v>
      </c>
      <c r="I17">
        <v>13</v>
      </c>
      <c r="J17">
        <v>17</v>
      </c>
    </row>
    <row r="18" spans="2:10" x14ac:dyDescent="0.25">
      <c r="B18">
        <v>22</v>
      </c>
      <c r="C18">
        <v>17</v>
      </c>
      <c r="D18">
        <v>14</v>
      </c>
      <c r="E18">
        <v>11</v>
      </c>
      <c r="F18">
        <v>13</v>
      </c>
      <c r="H18">
        <v>16</v>
      </c>
      <c r="I18">
        <v>11</v>
      </c>
      <c r="J18">
        <v>23</v>
      </c>
    </row>
    <row r="19" spans="2:10" x14ac:dyDescent="0.25">
      <c r="C19">
        <v>16</v>
      </c>
      <c r="D19">
        <v>12</v>
      </c>
      <c r="E19">
        <v>20</v>
      </c>
      <c r="F19">
        <v>17</v>
      </c>
      <c r="H19">
        <v>18</v>
      </c>
      <c r="I19">
        <v>15</v>
      </c>
      <c r="J19">
        <v>18</v>
      </c>
    </row>
    <row r="20" spans="2:10" x14ac:dyDescent="0.25">
      <c r="C20">
        <v>15</v>
      </c>
      <c r="D20">
        <v>12</v>
      </c>
      <c r="E20">
        <v>22</v>
      </c>
      <c r="F20">
        <v>21</v>
      </c>
      <c r="I20">
        <v>15</v>
      </c>
      <c r="J20">
        <v>21</v>
      </c>
    </row>
    <row r="21" spans="2:10" x14ac:dyDescent="0.25">
      <c r="C21">
        <v>15</v>
      </c>
      <c r="D21">
        <v>12</v>
      </c>
      <c r="E21">
        <v>16</v>
      </c>
      <c r="F21">
        <v>25</v>
      </c>
      <c r="I21">
        <v>12</v>
      </c>
      <c r="J21">
        <v>10</v>
      </c>
    </row>
    <row r="22" spans="2:10" x14ac:dyDescent="0.25">
      <c r="C22">
        <v>16</v>
      </c>
      <c r="D22">
        <v>10</v>
      </c>
      <c r="E22">
        <v>16</v>
      </c>
      <c r="F22">
        <v>20</v>
      </c>
      <c r="I22">
        <v>17</v>
      </c>
      <c r="J22">
        <v>10</v>
      </c>
    </row>
    <row r="23" spans="2:10" x14ac:dyDescent="0.25">
      <c r="C23">
        <v>17</v>
      </c>
      <c r="D23">
        <v>14</v>
      </c>
      <c r="E23">
        <v>16</v>
      </c>
      <c r="F23">
        <v>17</v>
      </c>
      <c r="I23">
        <v>11</v>
      </c>
      <c r="J23">
        <v>20</v>
      </c>
    </row>
    <row r="24" spans="2:10" x14ac:dyDescent="0.25">
      <c r="C24">
        <v>12</v>
      </c>
      <c r="D24">
        <v>16</v>
      </c>
      <c r="E24">
        <v>24</v>
      </c>
      <c r="F24">
        <v>21</v>
      </c>
      <c r="I24">
        <v>8</v>
      </c>
      <c r="J24">
        <v>16</v>
      </c>
    </row>
    <row r="25" spans="2:10" x14ac:dyDescent="0.25">
      <c r="C25">
        <v>22</v>
      </c>
      <c r="D25">
        <v>15</v>
      </c>
      <c r="E25">
        <v>10</v>
      </c>
      <c r="F25">
        <v>25</v>
      </c>
      <c r="I25">
        <v>18</v>
      </c>
      <c r="J25">
        <v>18</v>
      </c>
    </row>
    <row r="26" spans="2:10" x14ac:dyDescent="0.25">
      <c r="C26">
        <v>21</v>
      </c>
      <c r="D26">
        <v>11</v>
      </c>
      <c r="E26">
        <v>18</v>
      </c>
      <c r="F26">
        <v>29</v>
      </c>
      <c r="I26">
        <v>17</v>
      </c>
      <c r="J26">
        <v>16</v>
      </c>
    </row>
    <row r="27" spans="2:10" x14ac:dyDescent="0.25">
      <c r="C27">
        <v>20</v>
      </c>
      <c r="D27">
        <v>14</v>
      </c>
      <c r="E27">
        <v>12</v>
      </c>
      <c r="F27">
        <v>13</v>
      </c>
      <c r="I27">
        <v>11</v>
      </c>
      <c r="J27">
        <v>11</v>
      </c>
    </row>
    <row r="28" spans="2:10" x14ac:dyDescent="0.25">
      <c r="C28">
        <v>13</v>
      </c>
      <c r="E28">
        <v>14</v>
      </c>
      <c r="F28">
        <v>17</v>
      </c>
      <c r="I28">
        <v>16</v>
      </c>
      <c r="J28">
        <v>12</v>
      </c>
    </row>
    <row r="29" spans="2:10" x14ac:dyDescent="0.25">
      <c r="C29">
        <v>11</v>
      </c>
      <c r="E29">
        <v>13</v>
      </c>
      <c r="F29">
        <v>21</v>
      </c>
      <c r="I29">
        <v>12</v>
      </c>
      <c r="J29">
        <v>16</v>
      </c>
    </row>
    <row r="30" spans="2:10" x14ac:dyDescent="0.25">
      <c r="C30">
        <v>30</v>
      </c>
      <c r="E30">
        <v>18</v>
      </c>
      <c r="F30">
        <v>25</v>
      </c>
      <c r="I30">
        <v>12</v>
      </c>
      <c r="J30">
        <v>19</v>
      </c>
    </row>
    <row r="31" spans="2:10" x14ac:dyDescent="0.25">
      <c r="C31">
        <v>17</v>
      </c>
      <c r="F31">
        <v>16</v>
      </c>
      <c r="I31">
        <v>11</v>
      </c>
      <c r="J31">
        <v>14</v>
      </c>
    </row>
    <row r="32" spans="2:10" x14ac:dyDescent="0.25">
      <c r="C32">
        <v>15</v>
      </c>
      <c r="F32">
        <v>9</v>
      </c>
      <c r="I32">
        <v>17</v>
      </c>
      <c r="J32">
        <v>20</v>
      </c>
    </row>
    <row r="33" spans="3:10" x14ac:dyDescent="0.25">
      <c r="C33">
        <v>12</v>
      </c>
      <c r="F33">
        <v>13</v>
      </c>
      <c r="I33">
        <v>12</v>
      </c>
      <c r="J33">
        <v>14</v>
      </c>
    </row>
    <row r="34" spans="3:10" x14ac:dyDescent="0.25">
      <c r="C34">
        <v>16</v>
      </c>
      <c r="F34">
        <v>17</v>
      </c>
      <c r="I34">
        <v>11</v>
      </c>
      <c r="J34">
        <v>16</v>
      </c>
    </row>
    <row r="35" spans="3:10" x14ac:dyDescent="0.25">
      <c r="C35">
        <v>14</v>
      </c>
      <c r="F35">
        <v>21</v>
      </c>
      <c r="I35">
        <v>12</v>
      </c>
      <c r="J35">
        <v>19</v>
      </c>
    </row>
    <row r="36" spans="3:10" x14ac:dyDescent="0.25">
      <c r="C36">
        <v>14</v>
      </c>
      <c r="F36">
        <v>25</v>
      </c>
      <c r="I36">
        <v>14</v>
      </c>
      <c r="J36">
        <v>16</v>
      </c>
    </row>
    <row r="37" spans="3:10" x14ac:dyDescent="0.25">
      <c r="C37">
        <v>11</v>
      </c>
      <c r="F37">
        <v>29</v>
      </c>
      <c r="I37">
        <v>13</v>
      </c>
      <c r="J37">
        <v>24</v>
      </c>
    </row>
    <row r="38" spans="3:10" x14ac:dyDescent="0.25">
      <c r="C38">
        <v>16</v>
      </c>
      <c r="F38">
        <v>17</v>
      </c>
      <c r="I38">
        <v>13</v>
      </c>
      <c r="J38">
        <v>17</v>
      </c>
    </row>
    <row r="39" spans="3:10" x14ac:dyDescent="0.25">
      <c r="F39">
        <v>21</v>
      </c>
      <c r="I39">
        <v>11</v>
      </c>
      <c r="J39">
        <v>16</v>
      </c>
    </row>
    <row r="40" spans="3:10" x14ac:dyDescent="0.25">
      <c r="F40">
        <v>25</v>
      </c>
      <c r="I40">
        <v>15</v>
      </c>
      <c r="J40">
        <v>18</v>
      </c>
    </row>
    <row r="41" spans="3:10" x14ac:dyDescent="0.25">
      <c r="F41">
        <v>29</v>
      </c>
      <c r="I41">
        <v>11</v>
      </c>
      <c r="J41">
        <v>26</v>
      </c>
    </row>
    <row r="42" spans="3:10" x14ac:dyDescent="0.25">
      <c r="F42">
        <v>14</v>
      </c>
      <c r="I42">
        <v>21</v>
      </c>
      <c r="J42">
        <v>13</v>
      </c>
    </row>
    <row r="43" spans="3:10" x14ac:dyDescent="0.25">
      <c r="F43">
        <v>18</v>
      </c>
      <c r="I43">
        <v>12</v>
      </c>
      <c r="J43">
        <v>16</v>
      </c>
    </row>
    <row r="44" spans="3:10" x14ac:dyDescent="0.25">
      <c r="F44">
        <v>22</v>
      </c>
      <c r="I44">
        <v>13</v>
      </c>
      <c r="J44">
        <v>20</v>
      </c>
    </row>
    <row r="45" spans="3:10" x14ac:dyDescent="0.25">
      <c r="F45">
        <v>26</v>
      </c>
      <c r="I45">
        <v>13</v>
      </c>
      <c r="J45">
        <v>20</v>
      </c>
    </row>
    <row r="46" spans="3:10" x14ac:dyDescent="0.25">
      <c r="F46">
        <v>16</v>
      </c>
      <c r="I46">
        <v>10</v>
      </c>
      <c r="J46">
        <v>20</v>
      </c>
    </row>
    <row r="47" spans="3:10" x14ac:dyDescent="0.25">
      <c r="I47">
        <v>10</v>
      </c>
      <c r="J47">
        <v>20</v>
      </c>
    </row>
    <row r="48" spans="3:10" x14ac:dyDescent="0.25">
      <c r="I48">
        <v>13</v>
      </c>
      <c r="J48">
        <v>21</v>
      </c>
    </row>
    <row r="49" spans="9:10" x14ac:dyDescent="0.25">
      <c r="I49">
        <v>11</v>
      </c>
      <c r="J49">
        <v>20</v>
      </c>
    </row>
    <row r="50" spans="9:10" x14ac:dyDescent="0.25">
      <c r="I50">
        <v>8</v>
      </c>
      <c r="J50">
        <v>10</v>
      </c>
    </row>
    <row r="51" spans="9:10" x14ac:dyDescent="0.25">
      <c r="I51">
        <v>15</v>
      </c>
      <c r="J51">
        <v>15</v>
      </c>
    </row>
    <row r="52" spans="9:10" x14ac:dyDescent="0.25">
      <c r="I52">
        <v>15</v>
      </c>
      <c r="J52">
        <v>13</v>
      </c>
    </row>
    <row r="53" spans="9:10" x14ac:dyDescent="0.25">
      <c r="I53">
        <v>12</v>
      </c>
      <c r="J53">
        <v>14</v>
      </c>
    </row>
    <row r="54" spans="9:10" x14ac:dyDescent="0.25">
      <c r="I54">
        <v>11</v>
      </c>
      <c r="J54">
        <v>12</v>
      </c>
    </row>
    <row r="55" spans="9:10" x14ac:dyDescent="0.25">
      <c r="I55">
        <v>13</v>
      </c>
      <c r="J55">
        <v>10</v>
      </c>
    </row>
    <row r="56" spans="9:10" x14ac:dyDescent="0.25">
      <c r="I56">
        <v>11</v>
      </c>
      <c r="J56">
        <v>14</v>
      </c>
    </row>
    <row r="57" spans="9:10" x14ac:dyDescent="0.25">
      <c r="I57">
        <v>10</v>
      </c>
      <c r="J57">
        <v>9</v>
      </c>
    </row>
    <row r="58" spans="9:10" x14ac:dyDescent="0.25">
      <c r="I58">
        <v>21</v>
      </c>
      <c r="J58">
        <v>9</v>
      </c>
    </row>
    <row r="59" spans="9:10" x14ac:dyDescent="0.25">
      <c r="I59">
        <v>12</v>
      </c>
      <c r="J59">
        <v>12</v>
      </c>
    </row>
    <row r="60" spans="9:10" x14ac:dyDescent="0.25">
      <c r="I60">
        <v>13</v>
      </c>
      <c r="J60">
        <v>11</v>
      </c>
    </row>
    <row r="61" spans="9:10" x14ac:dyDescent="0.25">
      <c r="I61">
        <v>11</v>
      </c>
    </row>
    <row r="62" spans="9:10" x14ac:dyDescent="0.25">
      <c r="I62">
        <v>8</v>
      </c>
    </row>
    <row r="63" spans="9:10" x14ac:dyDescent="0.25">
      <c r="I63">
        <v>10</v>
      </c>
    </row>
    <row r="64" spans="9:10" x14ac:dyDescent="0.25">
      <c r="I64">
        <v>9</v>
      </c>
    </row>
    <row r="65" spans="9:9" x14ac:dyDescent="0.25">
      <c r="I65">
        <v>16</v>
      </c>
    </row>
    <row r="66" spans="9:9" x14ac:dyDescent="0.25">
      <c r="I66">
        <v>16</v>
      </c>
    </row>
    <row r="67" spans="9:9" x14ac:dyDescent="0.25">
      <c r="I67">
        <v>13</v>
      </c>
    </row>
    <row r="68" spans="9:9" x14ac:dyDescent="0.25">
      <c r="I68">
        <v>10</v>
      </c>
    </row>
    <row r="69" spans="9:9" x14ac:dyDescent="0.25">
      <c r="I69">
        <v>9</v>
      </c>
    </row>
    <row r="70" spans="9:9" x14ac:dyDescent="0.25">
      <c r="I70">
        <v>10</v>
      </c>
    </row>
    <row r="71" spans="9:9" x14ac:dyDescent="0.25">
      <c r="I71">
        <v>13</v>
      </c>
    </row>
    <row r="72" spans="9:9" x14ac:dyDescent="0.25">
      <c r="I72">
        <v>15</v>
      </c>
    </row>
    <row r="73" spans="9:9" x14ac:dyDescent="0.25">
      <c r="I73">
        <v>12</v>
      </c>
    </row>
    <row r="74" spans="9:9" x14ac:dyDescent="0.25">
      <c r="I74">
        <v>15</v>
      </c>
    </row>
    <row r="75" spans="9:9" x14ac:dyDescent="0.25">
      <c r="I75">
        <v>8</v>
      </c>
    </row>
    <row r="76" spans="9:9" x14ac:dyDescent="0.25">
      <c r="I76">
        <v>8</v>
      </c>
    </row>
    <row r="77" spans="9:9" x14ac:dyDescent="0.25">
      <c r="I77">
        <v>8</v>
      </c>
    </row>
    <row r="78" spans="9:9" x14ac:dyDescent="0.25">
      <c r="I78">
        <v>14</v>
      </c>
    </row>
    <row r="79" spans="9:9" x14ac:dyDescent="0.25">
      <c r="I79">
        <v>17</v>
      </c>
    </row>
    <row r="80" spans="9:9" x14ac:dyDescent="0.25">
      <c r="I80">
        <v>19</v>
      </c>
    </row>
    <row r="81" spans="9:9" x14ac:dyDescent="0.25">
      <c r="I81">
        <v>11</v>
      </c>
    </row>
    <row r="82" spans="9:9" x14ac:dyDescent="0.25">
      <c r="I82">
        <v>13</v>
      </c>
    </row>
    <row r="83" spans="9:9" x14ac:dyDescent="0.25">
      <c r="I83">
        <v>13</v>
      </c>
    </row>
    <row r="84" spans="9:9" x14ac:dyDescent="0.25">
      <c r="I84">
        <v>8</v>
      </c>
    </row>
    <row r="85" spans="9:9" x14ac:dyDescent="0.25">
      <c r="I85">
        <v>12</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8846A-621E-4741-B6EA-3EE2DB7846CD}">
  <dimension ref="A1:AA85"/>
  <sheetViews>
    <sheetView workbookViewId="0">
      <selection activeCell="AA3" sqref="AA3"/>
    </sheetView>
  </sheetViews>
  <sheetFormatPr defaultRowHeight="15" x14ac:dyDescent="0.25"/>
  <cols>
    <col min="1" max="1" width="10.42578125" bestFit="1" customWidth="1"/>
    <col min="2" max="2" width="9.7109375" bestFit="1" customWidth="1"/>
    <col min="3" max="3" width="11.28515625" bestFit="1" customWidth="1"/>
    <col min="4" max="4" width="10.28515625" bestFit="1" customWidth="1"/>
    <col min="5" max="5" width="5.85546875" bestFit="1" customWidth="1"/>
    <col min="6" max="6" width="7.42578125" bestFit="1" customWidth="1"/>
    <col min="7" max="7" width="3.85546875" bestFit="1" customWidth="1"/>
    <col min="8" max="8" width="7.85546875" bestFit="1" customWidth="1"/>
    <col min="9" max="10" width="5.85546875" bestFit="1" customWidth="1"/>
    <col min="26" max="26" width="29.42578125" bestFit="1" customWidth="1"/>
  </cols>
  <sheetData>
    <row r="1" spans="1:27" ht="26.25" x14ac:dyDescent="0.4">
      <c r="A1" s="3" t="s">
        <v>1470</v>
      </c>
      <c r="B1" t="s">
        <v>45</v>
      </c>
      <c r="C1" t="s">
        <v>76</v>
      </c>
      <c r="D1" t="s">
        <v>83</v>
      </c>
      <c r="E1" t="s">
        <v>120</v>
      </c>
      <c r="F1" t="s">
        <v>174</v>
      </c>
      <c r="G1" t="s">
        <v>207</v>
      </c>
      <c r="H1" t="s">
        <v>518</v>
      </c>
      <c r="I1" t="s">
        <v>1190</v>
      </c>
      <c r="J1" t="s">
        <v>1472</v>
      </c>
      <c r="Y1" t="s">
        <v>1712</v>
      </c>
      <c r="Z1" t="s">
        <v>1472</v>
      </c>
      <c r="AA1" t="s">
        <v>1723</v>
      </c>
    </row>
    <row r="2" spans="1:27" x14ac:dyDescent="0.25">
      <c r="B2" cm="1">
        <f t="array" ref="B2:B18">_xlfn._xlws.FILTER(monsters!$Q$2:$Q$331,monsters!$E$2:$E$331=DexByType!B1,"")</f>
        <v>6</v>
      </c>
      <c r="C2" cm="1">
        <f t="array" ref="C2:C38">_xlfn._xlws.FILTER(monsters!$Q$2:$Q$331,monsters!$E$2:$E$331=DexByType!C1,"")</f>
        <v>1</v>
      </c>
      <c r="D2" cm="1">
        <f t="array" ref="D2:D27">_xlfn._xlws.FILTER(monsters!$Q$2:$Q$331,monsters!$E$2:$E$331=DexByType!D1,"")</f>
        <v>16</v>
      </c>
      <c r="E2" cm="1">
        <f t="array" ref="E2:E30">_xlfn._xlws.FILTER(monsters!$Q$2:$Q$331,monsters!$E$2:$E$331=DexByType!E1,"")</f>
        <v>20</v>
      </c>
      <c r="F2" cm="1">
        <f t="array" ref="F2:F46">_xlfn._xlws.FILTER(monsters!$Q$2:$Q$331,monsters!$E$2:$E$331=DexByType!F1,"")</f>
        <v>10</v>
      </c>
      <c r="G2" cm="1">
        <f t="array" ref="G2:G16">_xlfn._xlws.FILTER(monsters!$Q$2:$Q$331,monsters!$E$2:$E$331=DexByType!G1,"")</f>
        <v>10</v>
      </c>
      <c r="H2" cm="1">
        <f t="array" ref="H2:H19">_xlfn._xlws.FILTER(monsters!$Q$2:$Q$331,monsters!$E$2:$E$331=DexByType!H1,"")</f>
        <v>11</v>
      </c>
      <c r="I2" cm="1">
        <f t="array" ref="I2:I85">_xlfn._xlws.FILTER(monsters!$Q$2:$Q$331,monsters!$E$2:$E$331=DexByType!I1,"")</f>
        <v>2</v>
      </c>
      <c r="J2" cm="1">
        <f t="array" ref="J2:J60">_xlfn._xlws.FILTER(monsters!$Q$2:$Q$331,(monsters!E2:E331&lt;&gt;DexByType!B1)*(monsters!E2:E331&lt;&gt;DexByType!C1)*(monsters!E2:E331&lt;&gt;DexByType!D1)*(monsters!E2:E331&lt;&gt;DexByType!E1)*(monsters!E2:E331&lt;&gt;DexByType!F1)*(monsters!E2:E331&lt;&gt;DexByType!G1)*(monsters!E2:E331&lt;&gt;DexByType!H1)*(monsters!E2:E331&lt;&gt;DexByType!I1),"")</f>
        <v>18</v>
      </c>
      <c r="Y2" t="s">
        <v>1714</v>
      </c>
      <c r="Z2" t="s">
        <v>1716</v>
      </c>
      <c r="AA2" t="s">
        <v>1724</v>
      </c>
    </row>
    <row r="3" spans="1:27" x14ac:dyDescent="0.25">
      <c r="B3">
        <v>12</v>
      </c>
      <c r="C3">
        <v>2</v>
      </c>
      <c r="D3">
        <v>10</v>
      </c>
      <c r="E3">
        <v>12</v>
      </c>
      <c r="F3">
        <v>12</v>
      </c>
      <c r="G3">
        <v>11</v>
      </c>
      <c r="H3">
        <v>10</v>
      </c>
      <c r="I3">
        <v>2</v>
      </c>
      <c r="J3">
        <v>1</v>
      </c>
    </row>
    <row r="4" spans="1:27" x14ac:dyDescent="0.25">
      <c r="B4">
        <v>15</v>
      </c>
      <c r="C4">
        <v>2</v>
      </c>
      <c r="D4">
        <v>14</v>
      </c>
      <c r="E4">
        <v>9</v>
      </c>
      <c r="F4">
        <v>14</v>
      </c>
      <c r="G4">
        <v>8</v>
      </c>
      <c r="H4">
        <v>7</v>
      </c>
      <c r="I4">
        <v>6</v>
      </c>
      <c r="J4">
        <v>1</v>
      </c>
    </row>
    <row r="5" spans="1:27" x14ac:dyDescent="0.25">
      <c r="B5">
        <v>5</v>
      </c>
      <c r="C5">
        <v>7</v>
      </c>
      <c r="D5">
        <v>9</v>
      </c>
      <c r="E5">
        <v>13</v>
      </c>
      <c r="F5">
        <v>16</v>
      </c>
      <c r="G5">
        <v>9</v>
      </c>
      <c r="H5">
        <v>21</v>
      </c>
      <c r="I5">
        <v>4</v>
      </c>
      <c r="J5">
        <v>1</v>
      </c>
    </row>
    <row r="6" spans="1:27" x14ac:dyDescent="0.25">
      <c r="B6">
        <v>16</v>
      </c>
      <c r="C6">
        <v>2</v>
      </c>
      <c r="D6">
        <v>10</v>
      </c>
      <c r="E6">
        <v>11</v>
      </c>
      <c r="F6">
        <v>12</v>
      </c>
      <c r="G6">
        <v>14</v>
      </c>
      <c r="H6">
        <v>6</v>
      </c>
      <c r="I6">
        <v>4</v>
      </c>
      <c r="J6">
        <v>10</v>
      </c>
    </row>
    <row r="7" spans="1:27" x14ac:dyDescent="0.25">
      <c r="B7">
        <v>6</v>
      </c>
      <c r="C7">
        <v>3</v>
      </c>
      <c r="D7">
        <v>10</v>
      </c>
      <c r="E7">
        <v>5</v>
      </c>
      <c r="F7">
        <v>14</v>
      </c>
      <c r="G7">
        <v>10</v>
      </c>
      <c r="H7">
        <v>11</v>
      </c>
      <c r="I7">
        <v>2</v>
      </c>
      <c r="J7">
        <v>10</v>
      </c>
    </row>
    <row r="8" spans="1:27" x14ac:dyDescent="0.25">
      <c r="B8">
        <v>6</v>
      </c>
      <c r="C8">
        <v>2</v>
      </c>
      <c r="D8">
        <v>10</v>
      </c>
      <c r="E8">
        <v>14</v>
      </c>
      <c r="F8">
        <v>16</v>
      </c>
      <c r="G8">
        <v>10</v>
      </c>
      <c r="H8">
        <v>6</v>
      </c>
      <c r="I8">
        <v>2</v>
      </c>
      <c r="J8">
        <v>1</v>
      </c>
    </row>
    <row r="9" spans="1:27" x14ac:dyDescent="0.25">
      <c r="B9">
        <v>10</v>
      </c>
      <c r="C9">
        <v>3</v>
      </c>
      <c r="D9">
        <v>12</v>
      </c>
      <c r="E9">
        <v>19</v>
      </c>
      <c r="F9">
        <v>18</v>
      </c>
      <c r="G9">
        <v>10</v>
      </c>
      <c r="H9">
        <v>6</v>
      </c>
      <c r="I9">
        <v>2</v>
      </c>
      <c r="J9">
        <v>5</v>
      </c>
    </row>
    <row r="10" spans="1:27" x14ac:dyDescent="0.25">
      <c r="B10">
        <v>8</v>
      </c>
      <c r="C10">
        <v>11</v>
      </c>
      <c r="D10">
        <v>10</v>
      </c>
      <c r="E10">
        <v>6</v>
      </c>
      <c r="F10">
        <v>10</v>
      </c>
      <c r="G10">
        <v>13</v>
      </c>
      <c r="H10">
        <v>2</v>
      </c>
      <c r="I10">
        <v>3</v>
      </c>
      <c r="J10">
        <v>3</v>
      </c>
    </row>
    <row r="11" spans="1:27" x14ac:dyDescent="0.25">
      <c r="B11">
        <v>9</v>
      </c>
      <c r="C11">
        <v>13</v>
      </c>
      <c r="D11">
        <v>10</v>
      </c>
      <c r="E11">
        <v>6</v>
      </c>
      <c r="F11">
        <v>12</v>
      </c>
      <c r="G11">
        <v>10</v>
      </c>
      <c r="H11">
        <v>6</v>
      </c>
      <c r="I11">
        <v>2</v>
      </c>
      <c r="J11">
        <v>13</v>
      </c>
    </row>
    <row r="12" spans="1:27" x14ac:dyDescent="0.25">
      <c r="B12">
        <v>9</v>
      </c>
      <c r="C12">
        <v>7</v>
      </c>
      <c r="D12">
        <v>12</v>
      </c>
      <c r="E12">
        <v>5</v>
      </c>
      <c r="F12">
        <v>14</v>
      </c>
      <c r="G12">
        <v>12</v>
      </c>
      <c r="H12">
        <v>10</v>
      </c>
      <c r="I12">
        <v>2</v>
      </c>
      <c r="J12">
        <v>12</v>
      </c>
    </row>
    <row r="13" spans="1:27" x14ac:dyDescent="0.25">
      <c r="B13">
        <v>7</v>
      </c>
      <c r="C13">
        <v>2</v>
      </c>
      <c r="D13">
        <v>11</v>
      </c>
      <c r="E13">
        <v>12</v>
      </c>
      <c r="F13">
        <v>16</v>
      </c>
      <c r="G13">
        <v>12</v>
      </c>
      <c r="H13">
        <v>11</v>
      </c>
      <c r="I13">
        <v>2</v>
      </c>
      <c r="J13">
        <v>18</v>
      </c>
    </row>
    <row r="14" spans="1:27" x14ac:dyDescent="0.25">
      <c r="B14">
        <v>11</v>
      </c>
      <c r="C14">
        <v>7</v>
      </c>
      <c r="D14">
        <v>17</v>
      </c>
      <c r="E14">
        <v>18</v>
      </c>
      <c r="F14">
        <v>12</v>
      </c>
      <c r="G14">
        <v>12</v>
      </c>
      <c r="H14">
        <v>17</v>
      </c>
      <c r="I14">
        <v>3</v>
      </c>
      <c r="J14">
        <v>5</v>
      </c>
    </row>
    <row r="15" spans="1:27" x14ac:dyDescent="0.25">
      <c r="B15">
        <v>11</v>
      </c>
      <c r="C15">
        <v>2</v>
      </c>
      <c r="D15">
        <v>20</v>
      </c>
      <c r="E15">
        <v>11</v>
      </c>
      <c r="F15">
        <v>14</v>
      </c>
      <c r="G15">
        <v>14</v>
      </c>
      <c r="H15">
        <v>10</v>
      </c>
      <c r="I15">
        <v>1</v>
      </c>
      <c r="J15">
        <v>2</v>
      </c>
    </row>
    <row r="16" spans="1:27" x14ac:dyDescent="0.25">
      <c r="B16">
        <v>11</v>
      </c>
      <c r="C16">
        <v>2</v>
      </c>
      <c r="D16">
        <v>12</v>
      </c>
      <c r="E16">
        <v>15</v>
      </c>
      <c r="F16">
        <v>16</v>
      </c>
      <c r="G16">
        <v>7</v>
      </c>
      <c r="H16">
        <v>13</v>
      </c>
      <c r="I16">
        <v>1</v>
      </c>
      <c r="J16">
        <v>17</v>
      </c>
    </row>
    <row r="17" spans="2:10" x14ac:dyDescent="0.25">
      <c r="B17">
        <v>5</v>
      </c>
      <c r="C17">
        <v>22</v>
      </c>
      <c r="D17">
        <v>8</v>
      </c>
      <c r="E17">
        <v>14</v>
      </c>
      <c r="F17">
        <v>18</v>
      </c>
      <c r="H17">
        <v>12</v>
      </c>
      <c r="I17">
        <v>2</v>
      </c>
      <c r="J17">
        <v>6</v>
      </c>
    </row>
    <row r="18" spans="2:10" x14ac:dyDescent="0.25">
      <c r="B18">
        <v>11</v>
      </c>
      <c r="C18">
        <v>7</v>
      </c>
      <c r="D18">
        <v>10</v>
      </c>
      <c r="E18">
        <v>1</v>
      </c>
      <c r="F18">
        <v>14</v>
      </c>
      <c r="H18">
        <v>3</v>
      </c>
      <c r="I18">
        <v>2</v>
      </c>
      <c r="J18">
        <v>10</v>
      </c>
    </row>
    <row r="19" spans="2:10" x14ac:dyDescent="0.25">
      <c r="C19">
        <v>12</v>
      </c>
      <c r="D19">
        <v>10</v>
      </c>
      <c r="E19">
        <v>18</v>
      </c>
      <c r="F19">
        <v>16</v>
      </c>
      <c r="H19">
        <v>3</v>
      </c>
      <c r="I19">
        <v>3</v>
      </c>
      <c r="J19">
        <v>6</v>
      </c>
    </row>
    <row r="20" spans="2:10" x14ac:dyDescent="0.25">
      <c r="C20">
        <v>8</v>
      </c>
      <c r="D20">
        <v>13</v>
      </c>
      <c r="E20">
        <v>19</v>
      </c>
      <c r="F20">
        <v>18</v>
      </c>
      <c r="I20">
        <v>2</v>
      </c>
      <c r="J20">
        <v>9</v>
      </c>
    </row>
    <row r="21" spans="2:10" x14ac:dyDescent="0.25">
      <c r="C21">
        <v>5</v>
      </c>
      <c r="D21">
        <v>11</v>
      </c>
      <c r="E21">
        <v>16</v>
      </c>
      <c r="F21">
        <v>20</v>
      </c>
      <c r="I21">
        <v>2</v>
      </c>
      <c r="J21">
        <v>1</v>
      </c>
    </row>
    <row r="22" spans="2:10" x14ac:dyDescent="0.25">
      <c r="C22">
        <v>6</v>
      </c>
      <c r="D22">
        <v>12</v>
      </c>
      <c r="E22">
        <v>10</v>
      </c>
      <c r="F22">
        <v>10</v>
      </c>
      <c r="I22">
        <v>3</v>
      </c>
      <c r="J22">
        <v>1</v>
      </c>
    </row>
    <row r="23" spans="2:10" x14ac:dyDescent="0.25">
      <c r="C23">
        <v>3</v>
      </c>
      <c r="D23">
        <v>10</v>
      </c>
      <c r="E23">
        <v>14</v>
      </c>
      <c r="F23">
        <v>14</v>
      </c>
      <c r="I23">
        <v>2</v>
      </c>
      <c r="J23">
        <v>1</v>
      </c>
    </row>
    <row r="24" spans="2:10" x14ac:dyDescent="0.25">
      <c r="C24">
        <v>6</v>
      </c>
      <c r="D24">
        <v>11</v>
      </c>
      <c r="E24">
        <v>22</v>
      </c>
      <c r="F24">
        <v>16</v>
      </c>
      <c r="I24">
        <v>1</v>
      </c>
      <c r="J24">
        <v>3</v>
      </c>
    </row>
    <row r="25" spans="2:10" x14ac:dyDescent="0.25">
      <c r="C25">
        <v>1</v>
      </c>
      <c r="D25">
        <v>10</v>
      </c>
      <c r="E25">
        <v>7</v>
      </c>
      <c r="F25">
        <v>16</v>
      </c>
      <c r="I25">
        <v>5</v>
      </c>
      <c r="J25">
        <v>2</v>
      </c>
    </row>
    <row r="26" spans="2:10" x14ac:dyDescent="0.25">
      <c r="C26">
        <v>4</v>
      </c>
      <c r="D26">
        <v>8</v>
      </c>
      <c r="E26">
        <v>13</v>
      </c>
      <c r="F26">
        <v>18</v>
      </c>
      <c r="I26">
        <v>2</v>
      </c>
      <c r="J26">
        <v>1</v>
      </c>
    </row>
    <row r="27" spans="2:10" x14ac:dyDescent="0.25">
      <c r="C27">
        <v>3</v>
      </c>
      <c r="D27">
        <v>10</v>
      </c>
      <c r="E27">
        <v>12</v>
      </c>
      <c r="F27">
        <v>14</v>
      </c>
      <c r="I27">
        <v>2</v>
      </c>
      <c r="J27">
        <v>3</v>
      </c>
    </row>
    <row r="28" spans="2:10" x14ac:dyDescent="0.25">
      <c r="C28">
        <v>2</v>
      </c>
      <c r="E28">
        <v>16</v>
      </c>
      <c r="F28">
        <v>16</v>
      </c>
      <c r="I28">
        <v>2</v>
      </c>
      <c r="J28">
        <v>9</v>
      </c>
    </row>
    <row r="29" spans="2:10" x14ac:dyDescent="0.25">
      <c r="C29">
        <v>2</v>
      </c>
      <c r="E29">
        <v>15</v>
      </c>
      <c r="F29">
        <v>18</v>
      </c>
      <c r="I29">
        <v>1</v>
      </c>
      <c r="J29">
        <v>16</v>
      </c>
    </row>
    <row r="30" spans="2:10" x14ac:dyDescent="0.25">
      <c r="C30">
        <v>3</v>
      </c>
      <c r="E30">
        <v>8</v>
      </c>
      <c r="F30">
        <v>20</v>
      </c>
      <c r="I30">
        <v>1</v>
      </c>
      <c r="J30">
        <v>5</v>
      </c>
    </row>
    <row r="31" spans="2:10" x14ac:dyDescent="0.25">
      <c r="C31">
        <v>11</v>
      </c>
      <c r="F31">
        <v>10</v>
      </c>
      <c r="I31">
        <v>1</v>
      </c>
      <c r="J31">
        <v>10</v>
      </c>
    </row>
    <row r="32" spans="2:10" x14ac:dyDescent="0.25">
      <c r="C32">
        <v>10</v>
      </c>
      <c r="F32">
        <v>8</v>
      </c>
      <c r="I32">
        <v>2</v>
      </c>
      <c r="J32">
        <v>3</v>
      </c>
    </row>
    <row r="33" spans="3:10" x14ac:dyDescent="0.25">
      <c r="C33">
        <v>11</v>
      </c>
      <c r="F33">
        <v>10</v>
      </c>
      <c r="I33">
        <v>1</v>
      </c>
      <c r="J33">
        <v>2</v>
      </c>
    </row>
    <row r="34" spans="3:10" x14ac:dyDescent="0.25">
      <c r="C34">
        <v>10</v>
      </c>
      <c r="F34">
        <v>12</v>
      </c>
      <c r="I34">
        <v>2</v>
      </c>
      <c r="J34">
        <v>5</v>
      </c>
    </row>
    <row r="35" spans="3:10" x14ac:dyDescent="0.25">
      <c r="C35">
        <v>10</v>
      </c>
      <c r="F35">
        <v>14</v>
      </c>
      <c r="I35">
        <v>3</v>
      </c>
      <c r="J35">
        <v>6</v>
      </c>
    </row>
    <row r="36" spans="3:10" x14ac:dyDescent="0.25">
      <c r="C36">
        <v>7</v>
      </c>
      <c r="F36">
        <v>16</v>
      </c>
      <c r="I36">
        <v>2</v>
      </c>
      <c r="J36">
        <v>10</v>
      </c>
    </row>
    <row r="37" spans="3:10" x14ac:dyDescent="0.25">
      <c r="C37">
        <v>2</v>
      </c>
      <c r="F37">
        <v>18</v>
      </c>
      <c r="I37">
        <v>2</v>
      </c>
      <c r="J37">
        <v>19</v>
      </c>
    </row>
    <row r="38" spans="3:10" x14ac:dyDescent="0.25">
      <c r="C38">
        <v>6</v>
      </c>
      <c r="F38">
        <v>12</v>
      </c>
      <c r="I38">
        <v>5</v>
      </c>
      <c r="J38">
        <v>7</v>
      </c>
    </row>
    <row r="39" spans="3:10" x14ac:dyDescent="0.25">
      <c r="F39">
        <v>14</v>
      </c>
      <c r="I39">
        <v>2</v>
      </c>
      <c r="J39">
        <v>5</v>
      </c>
    </row>
    <row r="40" spans="3:10" x14ac:dyDescent="0.25">
      <c r="F40">
        <v>16</v>
      </c>
      <c r="I40">
        <v>1</v>
      </c>
      <c r="J40">
        <v>7</v>
      </c>
    </row>
    <row r="41" spans="3:10" x14ac:dyDescent="0.25">
      <c r="F41">
        <v>18</v>
      </c>
      <c r="I41">
        <v>2</v>
      </c>
      <c r="J41">
        <v>25</v>
      </c>
    </row>
    <row r="42" spans="3:10" x14ac:dyDescent="0.25">
      <c r="F42">
        <v>5</v>
      </c>
      <c r="I42">
        <v>1</v>
      </c>
      <c r="J42">
        <v>15</v>
      </c>
    </row>
    <row r="43" spans="3:10" x14ac:dyDescent="0.25">
      <c r="F43">
        <v>6</v>
      </c>
      <c r="I43">
        <v>2</v>
      </c>
      <c r="J43">
        <v>18</v>
      </c>
    </row>
    <row r="44" spans="3:10" x14ac:dyDescent="0.25">
      <c r="F44">
        <v>8</v>
      </c>
      <c r="I44">
        <v>2</v>
      </c>
      <c r="J44">
        <v>16</v>
      </c>
    </row>
    <row r="45" spans="3:10" x14ac:dyDescent="0.25">
      <c r="F45">
        <v>10</v>
      </c>
      <c r="I45">
        <v>2</v>
      </c>
      <c r="J45">
        <v>10</v>
      </c>
    </row>
    <row r="46" spans="3:10" x14ac:dyDescent="0.25">
      <c r="F46">
        <v>5</v>
      </c>
      <c r="I46">
        <v>1</v>
      </c>
      <c r="J46">
        <v>3</v>
      </c>
    </row>
    <row r="47" spans="3:10" x14ac:dyDescent="0.25">
      <c r="I47">
        <v>4</v>
      </c>
      <c r="J47">
        <v>16</v>
      </c>
    </row>
    <row r="48" spans="3:10" x14ac:dyDescent="0.25">
      <c r="I48">
        <v>3</v>
      </c>
      <c r="J48">
        <v>12</v>
      </c>
    </row>
    <row r="49" spans="9:10" x14ac:dyDescent="0.25">
      <c r="I49">
        <v>2</v>
      </c>
      <c r="J49">
        <v>7</v>
      </c>
    </row>
    <row r="50" spans="9:10" x14ac:dyDescent="0.25">
      <c r="I50">
        <v>2</v>
      </c>
      <c r="J50">
        <v>1</v>
      </c>
    </row>
    <row r="51" spans="9:10" x14ac:dyDescent="0.25">
      <c r="I51">
        <v>2</v>
      </c>
      <c r="J51">
        <v>11</v>
      </c>
    </row>
    <row r="52" spans="9:10" x14ac:dyDescent="0.25">
      <c r="I52">
        <v>1</v>
      </c>
      <c r="J52">
        <v>8</v>
      </c>
    </row>
    <row r="53" spans="9:10" x14ac:dyDescent="0.25">
      <c r="I53">
        <v>2</v>
      </c>
      <c r="J53">
        <v>7</v>
      </c>
    </row>
    <row r="54" spans="9:10" x14ac:dyDescent="0.25">
      <c r="I54">
        <v>3</v>
      </c>
      <c r="J54">
        <v>10</v>
      </c>
    </row>
    <row r="55" spans="9:10" x14ac:dyDescent="0.25">
      <c r="I55">
        <v>3</v>
      </c>
      <c r="J55">
        <v>2</v>
      </c>
    </row>
    <row r="56" spans="9:10" x14ac:dyDescent="0.25">
      <c r="I56">
        <v>3</v>
      </c>
      <c r="J56">
        <v>1</v>
      </c>
    </row>
    <row r="57" spans="9:10" x14ac:dyDescent="0.25">
      <c r="I57">
        <v>1</v>
      </c>
      <c r="J57">
        <v>1</v>
      </c>
    </row>
    <row r="58" spans="9:10" x14ac:dyDescent="0.25">
      <c r="I58">
        <v>3</v>
      </c>
      <c r="J58">
        <v>2</v>
      </c>
    </row>
    <row r="59" spans="9:10" x14ac:dyDescent="0.25">
      <c r="I59">
        <v>3</v>
      </c>
      <c r="J59">
        <v>5</v>
      </c>
    </row>
    <row r="60" spans="9:10" x14ac:dyDescent="0.25">
      <c r="I60">
        <v>2</v>
      </c>
      <c r="J60">
        <v>1</v>
      </c>
    </row>
    <row r="61" spans="9:10" x14ac:dyDescent="0.25">
      <c r="I61">
        <v>3</v>
      </c>
    </row>
    <row r="62" spans="9:10" x14ac:dyDescent="0.25">
      <c r="I62">
        <v>2</v>
      </c>
    </row>
    <row r="63" spans="9:10" x14ac:dyDescent="0.25">
      <c r="I63">
        <v>3</v>
      </c>
    </row>
    <row r="64" spans="9:10" x14ac:dyDescent="0.25">
      <c r="I64">
        <v>1</v>
      </c>
    </row>
    <row r="65" spans="9:9" x14ac:dyDescent="0.25">
      <c r="I65">
        <v>2</v>
      </c>
    </row>
    <row r="66" spans="9:9" x14ac:dyDescent="0.25">
      <c r="I66">
        <v>2</v>
      </c>
    </row>
    <row r="67" spans="9:9" x14ac:dyDescent="0.25">
      <c r="I67">
        <v>2</v>
      </c>
    </row>
    <row r="68" spans="9:9" x14ac:dyDescent="0.25">
      <c r="I68">
        <v>2</v>
      </c>
    </row>
    <row r="69" spans="9:9" x14ac:dyDescent="0.25">
      <c r="I69">
        <v>2</v>
      </c>
    </row>
    <row r="70" spans="9:9" x14ac:dyDescent="0.25">
      <c r="I70">
        <v>5</v>
      </c>
    </row>
    <row r="71" spans="9:9" x14ac:dyDescent="0.25">
      <c r="I71">
        <v>1</v>
      </c>
    </row>
    <row r="72" spans="9:9" x14ac:dyDescent="0.25">
      <c r="I72">
        <v>2</v>
      </c>
    </row>
    <row r="73" spans="9:9" x14ac:dyDescent="0.25">
      <c r="I73">
        <v>2</v>
      </c>
    </row>
    <row r="74" spans="9:9" x14ac:dyDescent="0.25">
      <c r="I74">
        <v>3</v>
      </c>
    </row>
    <row r="75" spans="9:9" x14ac:dyDescent="0.25">
      <c r="I75">
        <v>1</v>
      </c>
    </row>
    <row r="76" spans="9:9" x14ac:dyDescent="0.25">
      <c r="I76">
        <v>1</v>
      </c>
    </row>
    <row r="77" spans="9:9" x14ac:dyDescent="0.25">
      <c r="I77">
        <v>1</v>
      </c>
    </row>
    <row r="78" spans="9:9" x14ac:dyDescent="0.25">
      <c r="I78">
        <v>3</v>
      </c>
    </row>
    <row r="79" spans="9:9" x14ac:dyDescent="0.25">
      <c r="I79">
        <v>2</v>
      </c>
    </row>
    <row r="80" spans="9:9" x14ac:dyDescent="0.25">
      <c r="I80">
        <v>2</v>
      </c>
    </row>
    <row r="81" spans="9:9" x14ac:dyDescent="0.25">
      <c r="I81">
        <v>1</v>
      </c>
    </row>
    <row r="82" spans="9:9" x14ac:dyDescent="0.25">
      <c r="I82">
        <v>2</v>
      </c>
    </row>
    <row r="83" spans="9:9" x14ac:dyDescent="0.25">
      <c r="I83">
        <v>2</v>
      </c>
    </row>
    <row r="84" spans="9:9" x14ac:dyDescent="0.25">
      <c r="I84">
        <v>2</v>
      </c>
    </row>
    <row r="85" spans="9:9" x14ac:dyDescent="0.25">
      <c r="I85">
        <v>3</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63690-7337-47B4-8423-F789C48F8EED}">
  <dimension ref="A1:AA85"/>
  <sheetViews>
    <sheetView workbookViewId="0">
      <selection activeCell="AB17" sqref="AB17"/>
    </sheetView>
  </sheetViews>
  <sheetFormatPr defaultRowHeight="15" x14ac:dyDescent="0.25"/>
  <cols>
    <col min="1" max="1" width="10.42578125" bestFit="1" customWidth="1"/>
    <col min="2" max="2" width="9.7109375" bestFit="1" customWidth="1"/>
    <col min="3" max="3" width="11.28515625" bestFit="1" customWidth="1"/>
    <col min="4" max="4" width="10.28515625" bestFit="1" customWidth="1"/>
    <col min="5" max="5" width="5.85546875" bestFit="1" customWidth="1"/>
    <col min="6" max="6" width="7.42578125" bestFit="1" customWidth="1"/>
    <col min="7" max="7" width="3.85546875" bestFit="1" customWidth="1"/>
    <col min="8" max="8" width="7.85546875" bestFit="1" customWidth="1"/>
    <col min="9" max="10" width="5.85546875" bestFit="1" customWidth="1"/>
  </cols>
  <sheetData>
    <row r="1" spans="1:27" ht="26.25" x14ac:dyDescent="0.4">
      <c r="A1" s="3" t="s">
        <v>1470</v>
      </c>
      <c r="B1" t="s">
        <v>45</v>
      </c>
      <c r="C1" t="s">
        <v>76</v>
      </c>
      <c r="D1" t="s">
        <v>83</v>
      </c>
      <c r="E1" t="s">
        <v>120</v>
      </c>
      <c r="F1" t="s">
        <v>174</v>
      </c>
      <c r="G1" t="s">
        <v>207</v>
      </c>
      <c r="H1" t="s">
        <v>518</v>
      </c>
      <c r="I1" t="s">
        <v>1190</v>
      </c>
      <c r="J1" t="s">
        <v>1472</v>
      </c>
      <c r="Y1" t="s">
        <v>1712</v>
      </c>
      <c r="Z1" t="s">
        <v>1472</v>
      </c>
      <c r="AA1" t="s">
        <v>1723</v>
      </c>
    </row>
    <row r="2" spans="1:27" x14ac:dyDescent="0.25">
      <c r="B2" cm="1">
        <f t="array" ref="B2:B18">_xlfn._xlws.FILTER(monsters!$R$2:$R$331,monsters!$E$2:$E$331=DexByType!B1,"")</f>
        <v>10</v>
      </c>
      <c r="C2" cm="1">
        <f t="array" ref="C2:C38">_xlfn._xlws.FILTER(monsters!$R$2:$R$331,monsters!$E$2:$E$331=DexByType!C1,"")</f>
        <v>13</v>
      </c>
      <c r="D2" cm="1">
        <f t="array" ref="D2:D27">_xlfn._xlws.FILTER(monsters!$R$2:$R$331,monsters!$E$2:$E$331=DexByType!D1,"")</f>
        <v>11</v>
      </c>
      <c r="E2" cm="1">
        <f t="array" ref="E2:E30">_xlfn._xlws.FILTER(monsters!$R$2:$R$331,monsters!$E$2:$E$331=DexByType!E1,"")</f>
        <v>16</v>
      </c>
      <c r="F2" cm="1">
        <f t="array" ref="F2:F46">_xlfn._xlws.FILTER(monsters!$R$2:$R$331,monsters!$E$2:$E$331=DexByType!F1,"")</f>
        <v>11</v>
      </c>
      <c r="G2" cm="1">
        <f t="array" ref="G2:G16">_xlfn._xlws.FILTER(monsters!$R$2:$R$331,monsters!$E$2:$E$331=DexByType!G1,"")</f>
        <v>13</v>
      </c>
      <c r="H2" cm="1">
        <f t="array" ref="H2:H19">_xlfn._xlws.FILTER(monsters!$R$2:$R$331,monsters!$E$2:$E$331=DexByType!H1,"")</f>
        <v>10</v>
      </c>
      <c r="I2" cm="1">
        <f t="array" ref="I2:I85">_xlfn._xlws.FILTER(monsters!$R$2:$R$331,monsters!$E$2:$E$331=DexByType!I1,"")</f>
        <v>12</v>
      </c>
      <c r="J2" cm="1">
        <f t="array" ref="J2:J60">_xlfn._xlws.FILTER(monsters!$R$2:$R$331,(monsters!E2:E331&lt;&gt;DexByType!B1)*(monsters!E2:E331&lt;&gt;DexByType!C1)*(monsters!E2:E331&lt;&gt;DexByType!D1)*(monsters!E2:E331&lt;&gt;DexByType!E1)*(monsters!E2:E331&lt;&gt;DexByType!F1)*(monsters!E2:E331&lt;&gt;DexByType!G1)*(monsters!E2:E331&lt;&gt;DexByType!H1)*(monsters!E2:E331&lt;&gt;DexByType!I1),"")</f>
        <v>15</v>
      </c>
      <c r="Y2" t="s">
        <v>1714</v>
      </c>
      <c r="Z2" t="s">
        <v>1472</v>
      </c>
      <c r="AA2" t="s">
        <v>1725</v>
      </c>
    </row>
    <row r="3" spans="1:27" x14ac:dyDescent="0.25">
      <c r="B3">
        <v>13</v>
      </c>
      <c r="C3">
        <v>10</v>
      </c>
      <c r="D3">
        <v>10</v>
      </c>
      <c r="E3">
        <v>14</v>
      </c>
      <c r="F3">
        <v>11</v>
      </c>
      <c r="G3">
        <v>12</v>
      </c>
      <c r="H3">
        <v>12</v>
      </c>
      <c r="I3">
        <v>12</v>
      </c>
      <c r="J3">
        <v>3</v>
      </c>
    </row>
    <row r="4" spans="1:27" x14ac:dyDescent="0.25">
      <c r="B4">
        <v>16</v>
      </c>
      <c r="C4">
        <v>8</v>
      </c>
      <c r="D4">
        <v>11</v>
      </c>
      <c r="E4">
        <v>11</v>
      </c>
      <c r="F4">
        <v>13</v>
      </c>
      <c r="G4">
        <v>11</v>
      </c>
      <c r="H4">
        <v>10</v>
      </c>
      <c r="I4">
        <v>12</v>
      </c>
      <c r="J4">
        <v>5</v>
      </c>
    </row>
    <row r="5" spans="1:27" x14ac:dyDescent="0.25">
      <c r="B5">
        <v>10</v>
      </c>
      <c r="C5">
        <v>14</v>
      </c>
      <c r="D5">
        <v>11</v>
      </c>
      <c r="E5">
        <v>14</v>
      </c>
      <c r="F5">
        <v>15</v>
      </c>
      <c r="G5">
        <v>13</v>
      </c>
      <c r="H5">
        <v>14</v>
      </c>
      <c r="I5">
        <v>14</v>
      </c>
      <c r="J5">
        <v>3</v>
      </c>
    </row>
    <row r="6" spans="1:27" x14ac:dyDescent="0.25">
      <c r="B6">
        <v>15</v>
      </c>
      <c r="C6">
        <v>10</v>
      </c>
      <c r="D6">
        <v>10</v>
      </c>
      <c r="E6">
        <v>12</v>
      </c>
      <c r="F6">
        <v>11</v>
      </c>
      <c r="G6">
        <v>15</v>
      </c>
      <c r="H6">
        <v>12</v>
      </c>
      <c r="I6">
        <v>12</v>
      </c>
      <c r="J6">
        <v>10</v>
      </c>
    </row>
    <row r="7" spans="1:27" x14ac:dyDescent="0.25">
      <c r="B7">
        <v>10</v>
      </c>
      <c r="C7">
        <v>14</v>
      </c>
      <c r="D7">
        <v>11</v>
      </c>
      <c r="E7">
        <v>8</v>
      </c>
      <c r="F7">
        <v>13</v>
      </c>
      <c r="G7">
        <v>8</v>
      </c>
      <c r="H7">
        <v>19</v>
      </c>
      <c r="I7">
        <v>12</v>
      </c>
      <c r="J7">
        <v>10</v>
      </c>
    </row>
    <row r="8" spans="1:27" x14ac:dyDescent="0.25">
      <c r="B8">
        <v>11</v>
      </c>
      <c r="C8">
        <v>13</v>
      </c>
      <c r="D8">
        <v>14</v>
      </c>
      <c r="E8">
        <v>14</v>
      </c>
      <c r="F8">
        <v>15</v>
      </c>
      <c r="G8">
        <v>8</v>
      </c>
      <c r="H8">
        <v>10</v>
      </c>
      <c r="I8">
        <v>12</v>
      </c>
      <c r="J8">
        <v>6</v>
      </c>
    </row>
    <row r="9" spans="1:27" x14ac:dyDescent="0.25">
      <c r="B9">
        <v>15</v>
      </c>
      <c r="C9">
        <v>13</v>
      </c>
      <c r="D9">
        <v>16</v>
      </c>
      <c r="E9">
        <v>17</v>
      </c>
      <c r="F9">
        <v>17</v>
      </c>
      <c r="G9">
        <v>8</v>
      </c>
      <c r="H9">
        <v>8</v>
      </c>
      <c r="I9">
        <v>12</v>
      </c>
      <c r="J9">
        <v>11</v>
      </c>
    </row>
    <row r="10" spans="1:27" x14ac:dyDescent="0.25">
      <c r="B10">
        <v>11</v>
      </c>
      <c r="C10">
        <v>12</v>
      </c>
      <c r="D10">
        <v>12</v>
      </c>
      <c r="E10">
        <v>10</v>
      </c>
      <c r="F10">
        <v>11</v>
      </c>
      <c r="G10">
        <v>14</v>
      </c>
      <c r="H10">
        <v>8</v>
      </c>
      <c r="I10">
        <v>14</v>
      </c>
      <c r="J10">
        <v>8</v>
      </c>
    </row>
    <row r="11" spans="1:27" x14ac:dyDescent="0.25">
      <c r="B11">
        <v>11</v>
      </c>
      <c r="C11">
        <v>16</v>
      </c>
      <c r="D11">
        <v>11</v>
      </c>
      <c r="E11">
        <v>13</v>
      </c>
      <c r="F11">
        <v>11</v>
      </c>
      <c r="G11">
        <v>10</v>
      </c>
      <c r="H11">
        <v>8</v>
      </c>
      <c r="I11">
        <v>9</v>
      </c>
      <c r="J11">
        <v>14</v>
      </c>
    </row>
    <row r="12" spans="1:27" x14ac:dyDescent="0.25">
      <c r="B12">
        <v>11</v>
      </c>
      <c r="C12">
        <v>12</v>
      </c>
      <c r="D12">
        <v>14</v>
      </c>
      <c r="E12">
        <v>12</v>
      </c>
      <c r="F12">
        <v>13</v>
      </c>
      <c r="G12">
        <v>10</v>
      </c>
      <c r="H12">
        <v>10</v>
      </c>
      <c r="I12">
        <v>13</v>
      </c>
      <c r="J12">
        <v>16</v>
      </c>
    </row>
    <row r="13" spans="1:27" x14ac:dyDescent="0.25">
      <c r="B13">
        <v>10</v>
      </c>
      <c r="C13">
        <v>13</v>
      </c>
      <c r="D13">
        <v>11</v>
      </c>
      <c r="E13">
        <v>16</v>
      </c>
      <c r="F13">
        <v>15</v>
      </c>
      <c r="G13">
        <v>10</v>
      </c>
      <c r="H13">
        <v>10</v>
      </c>
      <c r="I13">
        <v>11</v>
      </c>
      <c r="J13">
        <v>20</v>
      </c>
    </row>
    <row r="14" spans="1:27" x14ac:dyDescent="0.25">
      <c r="B14">
        <v>10</v>
      </c>
      <c r="C14">
        <v>10</v>
      </c>
      <c r="D14">
        <v>12</v>
      </c>
      <c r="E14">
        <v>15</v>
      </c>
      <c r="F14">
        <v>11</v>
      </c>
      <c r="G14">
        <v>12</v>
      </c>
      <c r="H14">
        <v>15</v>
      </c>
      <c r="I14">
        <v>12</v>
      </c>
      <c r="J14">
        <v>10</v>
      </c>
    </row>
    <row r="15" spans="1:27" x14ac:dyDescent="0.25">
      <c r="B15">
        <v>14</v>
      </c>
      <c r="C15">
        <v>12</v>
      </c>
      <c r="D15">
        <v>15</v>
      </c>
      <c r="E15">
        <v>12</v>
      </c>
      <c r="F15">
        <v>13</v>
      </c>
      <c r="G15">
        <v>13</v>
      </c>
      <c r="H15">
        <v>13</v>
      </c>
      <c r="I15">
        <v>10</v>
      </c>
      <c r="J15">
        <v>10</v>
      </c>
    </row>
    <row r="16" spans="1:27" x14ac:dyDescent="0.25">
      <c r="B16">
        <v>10</v>
      </c>
      <c r="C16">
        <v>10</v>
      </c>
      <c r="D16">
        <v>14</v>
      </c>
      <c r="E16">
        <v>12</v>
      </c>
      <c r="F16">
        <v>15</v>
      </c>
      <c r="G16">
        <v>11</v>
      </c>
      <c r="H16">
        <v>14</v>
      </c>
      <c r="I16">
        <v>8</v>
      </c>
      <c r="J16">
        <v>20</v>
      </c>
    </row>
    <row r="17" spans="2:10" x14ac:dyDescent="0.25">
      <c r="B17">
        <v>10</v>
      </c>
      <c r="C17">
        <v>18</v>
      </c>
      <c r="D17">
        <v>12</v>
      </c>
      <c r="E17">
        <v>15</v>
      </c>
      <c r="F17">
        <v>17</v>
      </c>
      <c r="H17">
        <v>14</v>
      </c>
      <c r="I17">
        <v>10</v>
      </c>
      <c r="J17">
        <v>10</v>
      </c>
    </row>
    <row r="18" spans="2:10" x14ac:dyDescent="0.25">
      <c r="B18">
        <v>10</v>
      </c>
      <c r="C18">
        <v>12</v>
      </c>
      <c r="D18">
        <v>14</v>
      </c>
      <c r="E18">
        <v>11</v>
      </c>
      <c r="F18">
        <v>11</v>
      </c>
      <c r="H18">
        <v>6</v>
      </c>
      <c r="I18">
        <v>14</v>
      </c>
      <c r="J18">
        <v>14</v>
      </c>
    </row>
    <row r="19" spans="2:10" x14ac:dyDescent="0.25">
      <c r="C19">
        <v>13</v>
      </c>
      <c r="D19">
        <v>14</v>
      </c>
      <c r="E19">
        <v>16</v>
      </c>
      <c r="F19">
        <v>13</v>
      </c>
      <c r="H19">
        <v>6</v>
      </c>
      <c r="I19">
        <v>12</v>
      </c>
      <c r="J19">
        <v>10</v>
      </c>
    </row>
    <row r="20" spans="2:10" x14ac:dyDescent="0.25">
      <c r="C20">
        <v>10</v>
      </c>
      <c r="D20">
        <v>16</v>
      </c>
      <c r="E20">
        <v>12</v>
      </c>
      <c r="F20">
        <v>15</v>
      </c>
      <c r="I20">
        <v>11</v>
      </c>
      <c r="J20">
        <v>10</v>
      </c>
    </row>
    <row r="21" spans="2:10" x14ac:dyDescent="0.25">
      <c r="C21">
        <v>13</v>
      </c>
      <c r="D21">
        <v>13</v>
      </c>
      <c r="E21">
        <v>14</v>
      </c>
      <c r="F21">
        <v>17</v>
      </c>
      <c r="I21">
        <v>14</v>
      </c>
      <c r="J21">
        <v>3</v>
      </c>
    </row>
    <row r="22" spans="2:10" x14ac:dyDescent="0.25">
      <c r="C22">
        <v>16</v>
      </c>
      <c r="D22">
        <v>14</v>
      </c>
      <c r="E22">
        <v>13</v>
      </c>
      <c r="F22">
        <v>12</v>
      </c>
      <c r="I22">
        <v>11</v>
      </c>
      <c r="J22">
        <v>3</v>
      </c>
    </row>
    <row r="23" spans="2:10" x14ac:dyDescent="0.25">
      <c r="C23">
        <v>12</v>
      </c>
      <c r="D23">
        <v>10</v>
      </c>
      <c r="E23">
        <v>12</v>
      </c>
      <c r="F23">
        <v>11</v>
      </c>
      <c r="I23">
        <v>10</v>
      </c>
      <c r="J23">
        <v>6</v>
      </c>
    </row>
    <row r="24" spans="2:10" x14ac:dyDescent="0.25">
      <c r="C24">
        <v>10</v>
      </c>
      <c r="D24">
        <v>10</v>
      </c>
      <c r="E24">
        <v>18</v>
      </c>
      <c r="F24">
        <v>13</v>
      </c>
      <c r="I24">
        <v>8</v>
      </c>
      <c r="J24">
        <v>10</v>
      </c>
    </row>
    <row r="25" spans="2:10" x14ac:dyDescent="0.25">
      <c r="C25">
        <v>8</v>
      </c>
      <c r="D25">
        <v>10</v>
      </c>
      <c r="E25">
        <v>10</v>
      </c>
      <c r="F25">
        <v>15</v>
      </c>
      <c r="I25">
        <v>12</v>
      </c>
      <c r="J25">
        <v>12</v>
      </c>
    </row>
    <row r="26" spans="2:10" x14ac:dyDescent="0.25">
      <c r="C26">
        <v>10</v>
      </c>
      <c r="D26">
        <v>11</v>
      </c>
      <c r="E26">
        <v>16</v>
      </c>
      <c r="F26">
        <v>17</v>
      </c>
      <c r="I26">
        <v>12</v>
      </c>
      <c r="J26">
        <v>6</v>
      </c>
    </row>
    <row r="27" spans="2:10" x14ac:dyDescent="0.25">
      <c r="C27">
        <v>10</v>
      </c>
      <c r="D27">
        <v>11</v>
      </c>
      <c r="E27">
        <v>13</v>
      </c>
      <c r="F27">
        <v>11</v>
      </c>
      <c r="I27">
        <v>12</v>
      </c>
      <c r="J27">
        <v>14</v>
      </c>
    </row>
    <row r="28" spans="2:10" x14ac:dyDescent="0.25">
      <c r="C28">
        <v>13</v>
      </c>
      <c r="E28">
        <v>15</v>
      </c>
      <c r="F28">
        <v>13</v>
      </c>
      <c r="I28">
        <v>7</v>
      </c>
      <c r="J28">
        <v>8</v>
      </c>
    </row>
    <row r="29" spans="2:10" x14ac:dyDescent="0.25">
      <c r="C29">
        <v>8</v>
      </c>
      <c r="E29">
        <v>12</v>
      </c>
      <c r="F29">
        <v>15</v>
      </c>
      <c r="I29">
        <v>7</v>
      </c>
      <c r="J29">
        <v>19</v>
      </c>
    </row>
    <row r="30" spans="2:10" x14ac:dyDescent="0.25">
      <c r="C30">
        <v>11</v>
      </c>
      <c r="E30">
        <v>13</v>
      </c>
      <c r="F30">
        <v>17</v>
      </c>
      <c r="I30">
        <v>10</v>
      </c>
      <c r="J30">
        <v>9</v>
      </c>
    </row>
    <row r="31" spans="2:10" x14ac:dyDescent="0.25">
      <c r="C31">
        <v>12</v>
      </c>
      <c r="F31">
        <v>15</v>
      </c>
      <c r="I31">
        <v>9</v>
      </c>
      <c r="J31">
        <v>10</v>
      </c>
    </row>
    <row r="32" spans="2:10" x14ac:dyDescent="0.25">
      <c r="C32">
        <v>11</v>
      </c>
      <c r="F32">
        <v>7</v>
      </c>
      <c r="I32">
        <v>10</v>
      </c>
      <c r="J32">
        <v>11</v>
      </c>
    </row>
    <row r="33" spans="3:10" x14ac:dyDescent="0.25">
      <c r="C33">
        <v>10</v>
      </c>
      <c r="F33">
        <v>12</v>
      </c>
      <c r="I33">
        <v>7</v>
      </c>
      <c r="J33">
        <v>6</v>
      </c>
    </row>
    <row r="34" spans="3:10" x14ac:dyDescent="0.25">
      <c r="C34">
        <v>13</v>
      </c>
      <c r="F34">
        <v>11</v>
      </c>
      <c r="I34">
        <v>10</v>
      </c>
      <c r="J34">
        <v>7</v>
      </c>
    </row>
    <row r="35" spans="3:10" x14ac:dyDescent="0.25">
      <c r="C35">
        <v>11</v>
      </c>
      <c r="F35">
        <v>11</v>
      </c>
      <c r="I35">
        <v>12</v>
      </c>
      <c r="J35">
        <v>13</v>
      </c>
    </row>
    <row r="36" spans="3:10" x14ac:dyDescent="0.25">
      <c r="C36">
        <v>12</v>
      </c>
      <c r="F36">
        <v>13</v>
      </c>
      <c r="I36">
        <v>12</v>
      </c>
      <c r="J36">
        <v>15</v>
      </c>
    </row>
    <row r="37" spans="3:10" x14ac:dyDescent="0.25">
      <c r="C37">
        <v>12</v>
      </c>
      <c r="F37">
        <v>15</v>
      </c>
      <c r="I37">
        <v>10</v>
      </c>
      <c r="J37">
        <v>22</v>
      </c>
    </row>
    <row r="38" spans="3:10" x14ac:dyDescent="0.25">
      <c r="C38">
        <v>12</v>
      </c>
      <c r="F38">
        <v>11</v>
      </c>
      <c r="I38">
        <v>10</v>
      </c>
      <c r="J38">
        <v>16</v>
      </c>
    </row>
    <row r="39" spans="3:10" x14ac:dyDescent="0.25">
      <c r="F39">
        <v>11</v>
      </c>
      <c r="I39">
        <v>10</v>
      </c>
      <c r="J39">
        <v>10</v>
      </c>
    </row>
    <row r="40" spans="3:10" x14ac:dyDescent="0.25">
      <c r="F40">
        <v>13</v>
      </c>
      <c r="I40">
        <v>9</v>
      </c>
      <c r="J40">
        <v>10</v>
      </c>
    </row>
    <row r="41" spans="3:10" x14ac:dyDescent="0.25">
      <c r="F41">
        <v>15</v>
      </c>
      <c r="I41">
        <v>12</v>
      </c>
      <c r="J41">
        <v>25</v>
      </c>
    </row>
    <row r="42" spans="3:10" x14ac:dyDescent="0.25">
      <c r="F42">
        <v>10</v>
      </c>
      <c r="I42">
        <v>10</v>
      </c>
      <c r="J42">
        <v>12</v>
      </c>
    </row>
    <row r="43" spans="3:10" x14ac:dyDescent="0.25">
      <c r="F43">
        <v>11</v>
      </c>
      <c r="I43">
        <v>11</v>
      </c>
      <c r="J43">
        <v>18</v>
      </c>
    </row>
    <row r="44" spans="3:10" x14ac:dyDescent="0.25">
      <c r="F44">
        <v>12</v>
      </c>
      <c r="I44">
        <v>10</v>
      </c>
      <c r="J44">
        <v>23</v>
      </c>
    </row>
    <row r="45" spans="3:10" x14ac:dyDescent="0.25">
      <c r="F45">
        <v>13</v>
      </c>
      <c r="I45">
        <v>10</v>
      </c>
      <c r="J45">
        <v>12</v>
      </c>
    </row>
    <row r="46" spans="3:10" x14ac:dyDescent="0.25">
      <c r="F46">
        <v>12</v>
      </c>
      <c r="I46">
        <v>10</v>
      </c>
      <c r="J46">
        <v>11</v>
      </c>
    </row>
    <row r="47" spans="3:10" x14ac:dyDescent="0.25">
      <c r="I47">
        <v>12</v>
      </c>
      <c r="J47">
        <v>20</v>
      </c>
    </row>
    <row r="48" spans="3:10" x14ac:dyDescent="0.25">
      <c r="I48">
        <v>12</v>
      </c>
      <c r="J48">
        <v>16</v>
      </c>
    </row>
    <row r="49" spans="9:10" x14ac:dyDescent="0.25">
      <c r="I49">
        <v>10</v>
      </c>
      <c r="J49">
        <v>9</v>
      </c>
    </row>
    <row r="50" spans="9:10" x14ac:dyDescent="0.25">
      <c r="I50">
        <v>14</v>
      </c>
      <c r="J50">
        <v>9</v>
      </c>
    </row>
    <row r="51" spans="9:10" x14ac:dyDescent="0.25">
      <c r="I51">
        <v>12</v>
      </c>
      <c r="J51">
        <v>17</v>
      </c>
    </row>
    <row r="52" spans="9:10" x14ac:dyDescent="0.25">
      <c r="I52">
        <v>10</v>
      </c>
      <c r="J52">
        <v>14</v>
      </c>
    </row>
    <row r="53" spans="9:10" x14ac:dyDescent="0.25">
      <c r="I53">
        <v>12</v>
      </c>
      <c r="J53">
        <v>14</v>
      </c>
    </row>
    <row r="54" spans="9:10" x14ac:dyDescent="0.25">
      <c r="I54">
        <v>12</v>
      </c>
      <c r="J54">
        <v>14</v>
      </c>
    </row>
    <row r="55" spans="9:10" x14ac:dyDescent="0.25">
      <c r="I55">
        <v>12</v>
      </c>
      <c r="J55">
        <v>12</v>
      </c>
    </row>
    <row r="56" spans="9:10" x14ac:dyDescent="0.25">
      <c r="I56">
        <v>12</v>
      </c>
      <c r="J56">
        <v>7</v>
      </c>
    </row>
    <row r="57" spans="9:10" x14ac:dyDescent="0.25">
      <c r="I57">
        <v>8</v>
      </c>
      <c r="J57">
        <v>7</v>
      </c>
    </row>
    <row r="58" spans="9:10" x14ac:dyDescent="0.25">
      <c r="I58">
        <v>11</v>
      </c>
      <c r="J58">
        <v>10</v>
      </c>
    </row>
    <row r="59" spans="9:10" x14ac:dyDescent="0.25">
      <c r="I59">
        <v>12</v>
      </c>
      <c r="J59">
        <v>12</v>
      </c>
    </row>
    <row r="60" spans="9:10" x14ac:dyDescent="0.25">
      <c r="I60">
        <v>10</v>
      </c>
      <c r="J60">
        <v>10</v>
      </c>
    </row>
    <row r="61" spans="9:10" x14ac:dyDescent="0.25">
      <c r="I61">
        <v>10</v>
      </c>
    </row>
    <row r="62" spans="9:10" x14ac:dyDescent="0.25">
      <c r="I62">
        <v>12</v>
      </c>
    </row>
    <row r="63" spans="9:10" x14ac:dyDescent="0.25">
      <c r="I63">
        <v>14</v>
      </c>
    </row>
    <row r="64" spans="9:10" x14ac:dyDescent="0.25">
      <c r="I64">
        <v>7</v>
      </c>
    </row>
    <row r="65" spans="9:9" x14ac:dyDescent="0.25">
      <c r="I65">
        <v>12</v>
      </c>
    </row>
    <row r="66" spans="9:9" x14ac:dyDescent="0.25">
      <c r="I66">
        <v>13</v>
      </c>
    </row>
    <row r="67" spans="9:9" x14ac:dyDescent="0.25">
      <c r="I67">
        <v>11</v>
      </c>
    </row>
    <row r="68" spans="9:9" x14ac:dyDescent="0.25">
      <c r="I68">
        <v>9</v>
      </c>
    </row>
    <row r="69" spans="9:9" x14ac:dyDescent="0.25">
      <c r="I69">
        <v>10</v>
      </c>
    </row>
    <row r="70" spans="9:9" x14ac:dyDescent="0.25">
      <c r="I70">
        <v>13</v>
      </c>
    </row>
    <row r="71" spans="9:9" x14ac:dyDescent="0.25">
      <c r="I71">
        <v>10</v>
      </c>
    </row>
    <row r="72" spans="9:9" x14ac:dyDescent="0.25">
      <c r="I72">
        <v>12</v>
      </c>
    </row>
    <row r="73" spans="9:9" x14ac:dyDescent="0.25">
      <c r="I73">
        <v>11</v>
      </c>
    </row>
    <row r="74" spans="9:9" x14ac:dyDescent="0.25">
      <c r="I74">
        <v>12</v>
      </c>
    </row>
    <row r="75" spans="9:9" x14ac:dyDescent="0.25">
      <c r="I75">
        <v>8</v>
      </c>
    </row>
    <row r="76" spans="9:9" x14ac:dyDescent="0.25">
      <c r="I76">
        <v>10</v>
      </c>
    </row>
    <row r="77" spans="9:9" x14ac:dyDescent="0.25">
      <c r="I77">
        <v>10</v>
      </c>
    </row>
    <row r="78" spans="9:9" x14ac:dyDescent="0.25">
      <c r="I78">
        <v>12</v>
      </c>
    </row>
    <row r="79" spans="9:9" x14ac:dyDescent="0.25">
      <c r="I79">
        <v>11</v>
      </c>
    </row>
    <row r="80" spans="9:9" x14ac:dyDescent="0.25">
      <c r="I80">
        <v>12</v>
      </c>
    </row>
    <row r="81" spans="9:9" x14ac:dyDescent="0.25">
      <c r="I81">
        <v>10</v>
      </c>
    </row>
    <row r="82" spans="9:9" x14ac:dyDescent="0.25">
      <c r="I82">
        <v>12</v>
      </c>
    </row>
    <row r="83" spans="9:9" x14ac:dyDescent="0.25">
      <c r="I83">
        <v>12</v>
      </c>
    </row>
    <row r="84" spans="9:9" x14ac:dyDescent="0.25">
      <c r="I84">
        <v>12</v>
      </c>
    </row>
    <row r="85" spans="9:9" x14ac:dyDescent="0.25">
      <c r="I85">
        <v>12</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B5354-946E-4550-A7B7-C05D6DF86074}">
  <dimension ref="A1:AA85"/>
  <sheetViews>
    <sheetView workbookViewId="0">
      <selection activeCell="AA3" sqref="AA3"/>
    </sheetView>
  </sheetViews>
  <sheetFormatPr defaultRowHeight="15" x14ac:dyDescent="0.25"/>
  <cols>
    <col min="1" max="1" width="10.42578125" bestFit="1" customWidth="1"/>
    <col min="2" max="2" width="9.7109375" bestFit="1" customWidth="1"/>
    <col min="3" max="3" width="11.28515625" bestFit="1" customWidth="1"/>
    <col min="4" max="4" width="10.28515625" bestFit="1" customWidth="1"/>
    <col min="5" max="5" width="5.85546875" bestFit="1" customWidth="1"/>
    <col min="6" max="6" width="7.42578125" bestFit="1" customWidth="1"/>
    <col min="7" max="7" width="3.85546875" bestFit="1" customWidth="1"/>
    <col min="8" max="8" width="7.85546875" bestFit="1" customWidth="1"/>
    <col min="9" max="10" width="5.85546875" bestFit="1" customWidth="1"/>
  </cols>
  <sheetData>
    <row r="1" spans="1:27" ht="26.25" x14ac:dyDescent="0.4">
      <c r="A1" s="3" t="s">
        <v>1470</v>
      </c>
      <c r="B1" t="s">
        <v>45</v>
      </c>
      <c r="C1" t="s">
        <v>76</v>
      </c>
      <c r="D1" t="s">
        <v>83</v>
      </c>
      <c r="E1" t="s">
        <v>120</v>
      </c>
      <c r="F1" t="s">
        <v>174</v>
      </c>
      <c r="G1" t="s">
        <v>207</v>
      </c>
      <c r="H1" t="s">
        <v>518</v>
      </c>
      <c r="I1" t="s">
        <v>1190</v>
      </c>
      <c r="J1" t="s">
        <v>1472</v>
      </c>
      <c r="Y1" t="s">
        <v>1712</v>
      </c>
      <c r="Z1" t="s">
        <v>1472</v>
      </c>
      <c r="AA1" t="s">
        <v>1723</v>
      </c>
    </row>
    <row r="2" spans="1:27" x14ac:dyDescent="0.25">
      <c r="B2" cm="1">
        <f t="array" ref="B2:B18">_xlfn._xlws.FILTER(monsters!$S$2:$S$331,monsters!$E$2:$E$331=DexByType!B1,"")</f>
        <v>6</v>
      </c>
      <c r="C2" cm="1">
        <f t="array" ref="C2:C38">_xlfn._xlws.FILTER(monsters!$S$2:$S$331,monsters!$E$2:$E$331=DexByType!C1,"")</f>
        <v>6</v>
      </c>
      <c r="D2" cm="1">
        <f t="array" ref="D2:D27">_xlfn._xlws.FILTER(monsters!$S$2:$S$331,monsters!$E$2:$E$331=DexByType!D1,"")</f>
        <v>10</v>
      </c>
      <c r="E2" cm="1">
        <f t="array" ref="E2:E30">_xlfn._xlws.FILTER(monsters!$S$2:$S$331,monsters!$E$2:$E$331=DexByType!E1,"")</f>
        <v>22</v>
      </c>
      <c r="F2" cm="1">
        <f t="array" ref="F2:F46">_xlfn._xlws.FILTER(monsters!$S$2:$S$331,monsters!$E$2:$E$331=DexByType!F1,"")</f>
        <v>13</v>
      </c>
      <c r="G2" cm="1">
        <f t="array" ref="G2:G16">_xlfn._xlws.FILTER(monsters!$S$2:$S$331,monsters!$E$2:$E$331=DexByType!G1,"")</f>
        <v>11</v>
      </c>
      <c r="H2" cm="1">
        <f t="array" ref="H2:H19">_xlfn._xlws.FILTER(monsters!$S$2:$S$331,monsters!$E$2:$E$331=DexByType!H1,"")</f>
        <v>8</v>
      </c>
      <c r="I2" cm="1">
        <f t="array" ref="I2:I85">_xlfn._xlws.FILTER(monsters!$S$2:$S$331,monsters!$E$2:$E$331=DexByType!I1,"")</f>
        <v>5</v>
      </c>
      <c r="J2" cm="1">
        <f t="array" ref="J2:J60">_xlfn._xlws.FILTER(monsters!$S$2:$S$331,(monsters!E2:E331&lt;&gt;DexByType!B1)*(monsters!E2:E331&lt;&gt;DexByType!C1)*(monsters!E2:E331&lt;&gt;DexByType!D1)*(monsters!E2:E331&lt;&gt;DexByType!E1)*(monsters!E2:E331&lt;&gt;DexByType!F1)*(monsters!E2:E331&lt;&gt;DexByType!G1)*(monsters!E2:E331&lt;&gt;DexByType!H1)*(monsters!E2:E331&lt;&gt;DexByType!I1),"")</f>
        <v>18</v>
      </c>
      <c r="Y2" t="s">
        <v>1714</v>
      </c>
      <c r="Z2" t="s">
        <v>1472</v>
      </c>
      <c r="AA2" t="s">
        <v>1726</v>
      </c>
    </row>
    <row r="3" spans="1:27" x14ac:dyDescent="0.25">
      <c r="B3">
        <v>10</v>
      </c>
      <c r="C3">
        <v>5</v>
      </c>
      <c r="D3">
        <v>10</v>
      </c>
      <c r="E3">
        <v>14</v>
      </c>
      <c r="F3">
        <v>15</v>
      </c>
      <c r="G3">
        <v>11</v>
      </c>
      <c r="H3">
        <v>17</v>
      </c>
      <c r="I3">
        <v>5</v>
      </c>
      <c r="J3">
        <v>1</v>
      </c>
    </row>
    <row r="4" spans="1:27" x14ac:dyDescent="0.25">
      <c r="B4">
        <v>20</v>
      </c>
      <c r="C4">
        <v>7</v>
      </c>
      <c r="D4">
        <v>14</v>
      </c>
      <c r="E4">
        <v>14</v>
      </c>
      <c r="F4">
        <v>19</v>
      </c>
      <c r="G4">
        <v>9</v>
      </c>
      <c r="H4">
        <v>6</v>
      </c>
      <c r="I4">
        <v>7</v>
      </c>
      <c r="J4">
        <v>1</v>
      </c>
    </row>
    <row r="5" spans="1:27" x14ac:dyDescent="0.25">
      <c r="B5">
        <v>5</v>
      </c>
      <c r="C5">
        <v>12</v>
      </c>
      <c r="D5">
        <v>9</v>
      </c>
      <c r="E5">
        <v>16</v>
      </c>
      <c r="F5">
        <v>22</v>
      </c>
      <c r="G5">
        <v>11</v>
      </c>
      <c r="H5">
        <v>16</v>
      </c>
      <c r="I5">
        <v>6</v>
      </c>
      <c r="J5">
        <v>1</v>
      </c>
    </row>
    <row r="6" spans="1:27" x14ac:dyDescent="0.25">
      <c r="B6">
        <v>19</v>
      </c>
      <c r="C6">
        <v>5</v>
      </c>
      <c r="D6">
        <v>10</v>
      </c>
      <c r="E6">
        <v>14</v>
      </c>
      <c r="F6">
        <v>15</v>
      </c>
      <c r="G6">
        <v>18</v>
      </c>
      <c r="H6">
        <v>12</v>
      </c>
      <c r="I6">
        <v>6</v>
      </c>
      <c r="J6">
        <v>6</v>
      </c>
    </row>
    <row r="7" spans="1:27" x14ac:dyDescent="0.25">
      <c r="B7">
        <v>7</v>
      </c>
      <c r="C7">
        <v>10</v>
      </c>
      <c r="D7">
        <v>10</v>
      </c>
      <c r="E7">
        <v>3</v>
      </c>
      <c r="F7">
        <v>17</v>
      </c>
      <c r="G7">
        <v>8</v>
      </c>
      <c r="H7">
        <v>16</v>
      </c>
      <c r="I7">
        <v>5</v>
      </c>
      <c r="J7">
        <v>7</v>
      </c>
    </row>
    <row r="8" spans="1:27" x14ac:dyDescent="0.25">
      <c r="B8">
        <v>7</v>
      </c>
      <c r="C8">
        <v>5</v>
      </c>
      <c r="D8">
        <v>13</v>
      </c>
      <c r="E8">
        <v>18</v>
      </c>
      <c r="F8">
        <v>20</v>
      </c>
      <c r="G8">
        <v>8</v>
      </c>
      <c r="H8">
        <v>8</v>
      </c>
      <c r="I8">
        <v>4</v>
      </c>
      <c r="J8">
        <v>1</v>
      </c>
    </row>
    <row r="9" spans="1:27" x14ac:dyDescent="0.25">
      <c r="B9">
        <v>11</v>
      </c>
      <c r="C9">
        <v>6</v>
      </c>
      <c r="D9">
        <v>11</v>
      </c>
      <c r="E9">
        <v>16</v>
      </c>
      <c r="F9">
        <v>25</v>
      </c>
      <c r="G9">
        <v>10</v>
      </c>
      <c r="H9">
        <v>5</v>
      </c>
      <c r="I9">
        <v>7</v>
      </c>
      <c r="J9">
        <v>5</v>
      </c>
    </row>
    <row r="10" spans="1:27" x14ac:dyDescent="0.25">
      <c r="B10">
        <v>10</v>
      </c>
      <c r="C10">
        <v>14</v>
      </c>
      <c r="D10">
        <v>15</v>
      </c>
      <c r="E10">
        <v>7</v>
      </c>
      <c r="F10">
        <v>13</v>
      </c>
      <c r="G10">
        <v>14</v>
      </c>
      <c r="H10">
        <v>5</v>
      </c>
      <c r="I10">
        <v>5</v>
      </c>
      <c r="J10">
        <v>1</v>
      </c>
    </row>
    <row r="11" spans="1:27" x14ac:dyDescent="0.25">
      <c r="B11">
        <v>10</v>
      </c>
      <c r="C11">
        <v>12</v>
      </c>
      <c r="D11">
        <v>10</v>
      </c>
      <c r="E11">
        <v>6</v>
      </c>
      <c r="F11">
        <v>15</v>
      </c>
      <c r="G11">
        <v>9</v>
      </c>
      <c r="H11">
        <v>5</v>
      </c>
      <c r="I11">
        <v>5</v>
      </c>
      <c r="J11">
        <v>7</v>
      </c>
    </row>
    <row r="12" spans="1:27" x14ac:dyDescent="0.25">
      <c r="B12">
        <v>12</v>
      </c>
      <c r="C12">
        <v>8</v>
      </c>
      <c r="D12">
        <v>13</v>
      </c>
      <c r="E12">
        <v>13</v>
      </c>
      <c r="F12">
        <v>17</v>
      </c>
      <c r="G12">
        <v>13</v>
      </c>
      <c r="H12">
        <v>11</v>
      </c>
      <c r="I12">
        <v>7</v>
      </c>
      <c r="J12">
        <v>16</v>
      </c>
    </row>
    <row r="13" spans="1:27" x14ac:dyDescent="0.25">
      <c r="B13">
        <v>10</v>
      </c>
      <c r="C13">
        <v>8</v>
      </c>
      <c r="D13">
        <v>15</v>
      </c>
      <c r="E13">
        <v>18</v>
      </c>
      <c r="F13">
        <v>22</v>
      </c>
      <c r="G13">
        <v>14</v>
      </c>
      <c r="H13">
        <v>12</v>
      </c>
      <c r="I13">
        <v>5</v>
      </c>
      <c r="J13">
        <v>18</v>
      </c>
    </row>
    <row r="14" spans="1:27" x14ac:dyDescent="0.25">
      <c r="B14">
        <v>12</v>
      </c>
      <c r="C14">
        <v>13</v>
      </c>
      <c r="D14">
        <v>11</v>
      </c>
      <c r="E14">
        <v>18</v>
      </c>
      <c r="F14">
        <v>15</v>
      </c>
      <c r="G14">
        <v>13</v>
      </c>
      <c r="H14">
        <v>18</v>
      </c>
      <c r="I14">
        <v>7</v>
      </c>
      <c r="J14">
        <v>4</v>
      </c>
    </row>
    <row r="15" spans="1:27" x14ac:dyDescent="0.25">
      <c r="B15">
        <v>12</v>
      </c>
      <c r="C15">
        <v>8</v>
      </c>
      <c r="D15">
        <v>16</v>
      </c>
      <c r="E15">
        <v>14</v>
      </c>
      <c r="F15">
        <v>17</v>
      </c>
      <c r="G15">
        <v>11</v>
      </c>
      <c r="H15">
        <v>15</v>
      </c>
      <c r="I15">
        <v>3</v>
      </c>
      <c r="J15">
        <v>5</v>
      </c>
    </row>
    <row r="16" spans="1:27" x14ac:dyDescent="0.25">
      <c r="B16">
        <v>12</v>
      </c>
      <c r="C16">
        <v>7</v>
      </c>
      <c r="D16">
        <v>16</v>
      </c>
      <c r="E16">
        <v>20</v>
      </c>
      <c r="F16">
        <v>20</v>
      </c>
      <c r="G16">
        <v>8</v>
      </c>
      <c r="H16">
        <v>11</v>
      </c>
      <c r="I16">
        <v>2</v>
      </c>
      <c r="J16">
        <v>20</v>
      </c>
    </row>
    <row r="17" spans="2:10" x14ac:dyDescent="0.25">
      <c r="B17">
        <v>8</v>
      </c>
      <c r="C17">
        <v>20</v>
      </c>
      <c r="D17">
        <v>14</v>
      </c>
      <c r="E17">
        <v>16</v>
      </c>
      <c r="F17">
        <v>25</v>
      </c>
      <c r="H17">
        <v>15</v>
      </c>
      <c r="I17">
        <v>5</v>
      </c>
      <c r="J17">
        <v>8</v>
      </c>
    </row>
    <row r="18" spans="2:10" x14ac:dyDescent="0.25">
      <c r="B18">
        <v>11</v>
      </c>
      <c r="C18">
        <v>8</v>
      </c>
      <c r="D18">
        <v>17</v>
      </c>
      <c r="E18">
        <v>3</v>
      </c>
      <c r="F18">
        <v>13</v>
      </c>
      <c r="H18">
        <v>5</v>
      </c>
      <c r="I18">
        <v>5</v>
      </c>
      <c r="J18">
        <v>13</v>
      </c>
    </row>
    <row r="19" spans="2:10" x14ac:dyDescent="0.25">
      <c r="C19">
        <v>15</v>
      </c>
      <c r="D19">
        <v>11</v>
      </c>
      <c r="E19">
        <v>20</v>
      </c>
      <c r="F19">
        <v>15</v>
      </c>
      <c r="H19">
        <v>5</v>
      </c>
      <c r="I19">
        <v>7</v>
      </c>
      <c r="J19">
        <v>5</v>
      </c>
    </row>
    <row r="20" spans="2:10" x14ac:dyDescent="0.25">
      <c r="C20">
        <v>9</v>
      </c>
      <c r="D20">
        <v>13</v>
      </c>
      <c r="E20">
        <v>15</v>
      </c>
      <c r="F20">
        <v>18</v>
      </c>
      <c r="I20">
        <v>7</v>
      </c>
      <c r="J20">
        <v>12</v>
      </c>
    </row>
    <row r="21" spans="2:10" x14ac:dyDescent="0.25">
      <c r="C21">
        <v>8</v>
      </c>
      <c r="D21">
        <v>11</v>
      </c>
      <c r="E21">
        <v>16</v>
      </c>
      <c r="F21">
        <v>22</v>
      </c>
      <c r="I21">
        <v>7</v>
      </c>
      <c r="J21">
        <v>1</v>
      </c>
    </row>
    <row r="22" spans="2:10" x14ac:dyDescent="0.25">
      <c r="C22">
        <v>9</v>
      </c>
      <c r="D22">
        <v>16</v>
      </c>
      <c r="E22">
        <v>15</v>
      </c>
      <c r="F22">
        <v>12</v>
      </c>
      <c r="I22">
        <v>6</v>
      </c>
      <c r="J22">
        <v>1</v>
      </c>
    </row>
    <row r="23" spans="2:10" x14ac:dyDescent="0.25">
      <c r="C23">
        <v>7</v>
      </c>
      <c r="D23">
        <v>11</v>
      </c>
      <c r="E23">
        <v>15</v>
      </c>
      <c r="F23">
        <v>16</v>
      </c>
      <c r="I23">
        <v>6</v>
      </c>
      <c r="J23">
        <v>1</v>
      </c>
    </row>
    <row r="24" spans="2:10" x14ac:dyDescent="0.25">
      <c r="C24">
        <v>6</v>
      </c>
      <c r="D24">
        <v>11</v>
      </c>
      <c r="E24">
        <v>24</v>
      </c>
      <c r="F24">
        <v>20</v>
      </c>
      <c r="I24">
        <v>3</v>
      </c>
      <c r="J24">
        <v>6</v>
      </c>
    </row>
    <row r="25" spans="2:10" x14ac:dyDescent="0.25">
      <c r="C25">
        <v>4</v>
      </c>
      <c r="D25">
        <v>14</v>
      </c>
      <c r="E25">
        <v>10</v>
      </c>
      <c r="F25">
        <v>24</v>
      </c>
      <c r="I25">
        <v>7</v>
      </c>
      <c r="J25">
        <v>7</v>
      </c>
    </row>
    <row r="26" spans="2:10" x14ac:dyDescent="0.25">
      <c r="C26">
        <v>5</v>
      </c>
      <c r="D26">
        <v>8</v>
      </c>
      <c r="E26">
        <v>20</v>
      </c>
      <c r="F26">
        <v>28</v>
      </c>
      <c r="I26">
        <v>5</v>
      </c>
      <c r="J26">
        <v>2</v>
      </c>
    </row>
    <row r="27" spans="2:10" x14ac:dyDescent="0.25">
      <c r="C27">
        <v>9</v>
      </c>
      <c r="D27">
        <v>10</v>
      </c>
      <c r="E27">
        <v>9</v>
      </c>
      <c r="F27">
        <v>13</v>
      </c>
      <c r="I27">
        <v>6</v>
      </c>
      <c r="J27">
        <v>5</v>
      </c>
    </row>
    <row r="28" spans="2:10" x14ac:dyDescent="0.25">
      <c r="C28">
        <v>6</v>
      </c>
      <c r="E28">
        <v>16</v>
      </c>
      <c r="F28">
        <v>15</v>
      </c>
      <c r="I28">
        <v>5</v>
      </c>
      <c r="J28">
        <v>6</v>
      </c>
    </row>
    <row r="29" spans="2:10" x14ac:dyDescent="0.25">
      <c r="C29">
        <v>6</v>
      </c>
      <c r="E29">
        <v>20</v>
      </c>
      <c r="F29">
        <v>18</v>
      </c>
      <c r="I29">
        <v>3</v>
      </c>
      <c r="J29">
        <v>18</v>
      </c>
    </row>
    <row r="30" spans="2:10" x14ac:dyDescent="0.25">
      <c r="C30">
        <v>11</v>
      </c>
      <c r="E30">
        <v>8</v>
      </c>
      <c r="F30">
        <v>22</v>
      </c>
      <c r="I30">
        <v>3</v>
      </c>
      <c r="J30">
        <v>6</v>
      </c>
    </row>
    <row r="31" spans="2:10" x14ac:dyDescent="0.25">
      <c r="C31">
        <v>12</v>
      </c>
      <c r="F31">
        <v>14</v>
      </c>
      <c r="I31">
        <v>3</v>
      </c>
      <c r="J31">
        <v>7</v>
      </c>
    </row>
    <row r="32" spans="2:10" x14ac:dyDescent="0.25">
      <c r="C32">
        <v>8</v>
      </c>
      <c r="F32">
        <v>8</v>
      </c>
      <c r="I32">
        <v>7</v>
      </c>
      <c r="J32">
        <v>1</v>
      </c>
    </row>
    <row r="33" spans="3:10" x14ac:dyDescent="0.25">
      <c r="C33">
        <v>8</v>
      </c>
      <c r="F33">
        <v>10</v>
      </c>
      <c r="I33">
        <v>3</v>
      </c>
      <c r="J33">
        <v>1</v>
      </c>
    </row>
    <row r="34" spans="3:10" x14ac:dyDescent="0.25">
      <c r="C34">
        <v>11</v>
      </c>
      <c r="F34">
        <v>15</v>
      </c>
      <c r="I34">
        <v>3</v>
      </c>
      <c r="J34">
        <v>7</v>
      </c>
    </row>
    <row r="35" spans="3:10" x14ac:dyDescent="0.25">
      <c r="C35">
        <v>10</v>
      </c>
      <c r="F35">
        <v>19</v>
      </c>
      <c r="I35">
        <v>6</v>
      </c>
      <c r="J35">
        <v>6</v>
      </c>
    </row>
    <row r="36" spans="3:10" x14ac:dyDescent="0.25">
      <c r="C36">
        <v>8</v>
      </c>
      <c r="F36">
        <v>23</v>
      </c>
      <c r="I36">
        <v>7</v>
      </c>
      <c r="J36">
        <v>13</v>
      </c>
    </row>
    <row r="37" spans="3:10" x14ac:dyDescent="0.25">
      <c r="C37">
        <v>5</v>
      </c>
      <c r="F37">
        <v>27</v>
      </c>
      <c r="I37">
        <v>5</v>
      </c>
      <c r="J37">
        <v>25</v>
      </c>
    </row>
    <row r="38" spans="3:10" x14ac:dyDescent="0.25">
      <c r="C38">
        <v>7</v>
      </c>
      <c r="F38">
        <v>15</v>
      </c>
      <c r="I38">
        <v>4</v>
      </c>
      <c r="J38">
        <v>6</v>
      </c>
    </row>
    <row r="39" spans="3:10" x14ac:dyDescent="0.25">
      <c r="F39">
        <v>19</v>
      </c>
      <c r="I39">
        <v>4</v>
      </c>
      <c r="J39">
        <v>5</v>
      </c>
    </row>
    <row r="40" spans="3:10" x14ac:dyDescent="0.25">
      <c r="F40">
        <v>22</v>
      </c>
      <c r="I40">
        <v>3</v>
      </c>
      <c r="J40">
        <v>3</v>
      </c>
    </row>
    <row r="41" spans="3:10" x14ac:dyDescent="0.25">
      <c r="F41">
        <v>26</v>
      </c>
      <c r="I41">
        <v>5</v>
      </c>
      <c r="J41">
        <v>30</v>
      </c>
    </row>
    <row r="42" spans="3:10" x14ac:dyDescent="0.25">
      <c r="F42">
        <v>11</v>
      </c>
      <c r="I42">
        <v>5</v>
      </c>
      <c r="J42">
        <v>11</v>
      </c>
    </row>
    <row r="43" spans="3:10" x14ac:dyDescent="0.25">
      <c r="F43">
        <v>12</v>
      </c>
      <c r="I43">
        <v>4</v>
      </c>
      <c r="J43">
        <v>18</v>
      </c>
    </row>
    <row r="44" spans="3:10" x14ac:dyDescent="0.25">
      <c r="F44">
        <v>12</v>
      </c>
      <c r="I44">
        <v>3</v>
      </c>
      <c r="J44">
        <v>18</v>
      </c>
    </row>
    <row r="45" spans="3:10" x14ac:dyDescent="0.25">
      <c r="F45">
        <v>18</v>
      </c>
      <c r="I45">
        <v>3</v>
      </c>
      <c r="J45">
        <v>9</v>
      </c>
    </row>
    <row r="46" spans="3:10" x14ac:dyDescent="0.25">
      <c r="F46">
        <v>6</v>
      </c>
      <c r="I46">
        <v>3</v>
      </c>
      <c r="J46">
        <v>1</v>
      </c>
    </row>
    <row r="47" spans="3:10" x14ac:dyDescent="0.25">
      <c r="I47">
        <v>5</v>
      </c>
      <c r="J47">
        <v>18</v>
      </c>
    </row>
    <row r="48" spans="3:10" x14ac:dyDescent="0.25">
      <c r="I48">
        <v>4</v>
      </c>
      <c r="J48">
        <v>12</v>
      </c>
    </row>
    <row r="49" spans="9:10" x14ac:dyDescent="0.25">
      <c r="I49">
        <v>5</v>
      </c>
      <c r="J49">
        <v>7</v>
      </c>
    </row>
    <row r="50" spans="9:10" x14ac:dyDescent="0.25">
      <c r="I50">
        <v>6</v>
      </c>
      <c r="J50">
        <v>1</v>
      </c>
    </row>
    <row r="51" spans="9:10" x14ac:dyDescent="0.25">
      <c r="I51">
        <v>4</v>
      </c>
      <c r="J51">
        <v>16</v>
      </c>
    </row>
    <row r="52" spans="9:10" x14ac:dyDescent="0.25">
      <c r="I52">
        <v>4</v>
      </c>
      <c r="J52">
        <v>10</v>
      </c>
    </row>
    <row r="53" spans="9:10" x14ac:dyDescent="0.25">
      <c r="I53">
        <v>5</v>
      </c>
      <c r="J53">
        <v>10</v>
      </c>
    </row>
    <row r="54" spans="9:10" x14ac:dyDescent="0.25">
      <c r="I54">
        <v>6</v>
      </c>
      <c r="J54">
        <v>10</v>
      </c>
    </row>
    <row r="55" spans="9:10" x14ac:dyDescent="0.25">
      <c r="I55">
        <v>7</v>
      </c>
      <c r="J55">
        <v>4</v>
      </c>
    </row>
    <row r="56" spans="9:10" x14ac:dyDescent="0.25">
      <c r="I56">
        <v>8</v>
      </c>
      <c r="J56">
        <v>1</v>
      </c>
    </row>
    <row r="57" spans="9:10" x14ac:dyDescent="0.25">
      <c r="I57">
        <v>3</v>
      </c>
      <c r="J57">
        <v>2</v>
      </c>
    </row>
    <row r="58" spans="9:10" x14ac:dyDescent="0.25">
      <c r="I58">
        <v>6</v>
      </c>
      <c r="J58">
        <v>3</v>
      </c>
    </row>
    <row r="59" spans="9:10" x14ac:dyDescent="0.25">
      <c r="I59">
        <v>7</v>
      </c>
      <c r="J59">
        <v>6</v>
      </c>
    </row>
    <row r="60" spans="9:10" x14ac:dyDescent="0.25">
      <c r="I60">
        <v>5</v>
      </c>
      <c r="J60">
        <v>3</v>
      </c>
    </row>
    <row r="61" spans="9:10" x14ac:dyDescent="0.25">
      <c r="I61">
        <v>4</v>
      </c>
    </row>
    <row r="62" spans="9:10" x14ac:dyDescent="0.25">
      <c r="I62">
        <v>7</v>
      </c>
    </row>
    <row r="63" spans="9:10" x14ac:dyDescent="0.25">
      <c r="I63">
        <v>7</v>
      </c>
    </row>
    <row r="64" spans="9:10" x14ac:dyDescent="0.25">
      <c r="I64">
        <v>2</v>
      </c>
    </row>
    <row r="65" spans="9:9" x14ac:dyDescent="0.25">
      <c r="I65">
        <v>5</v>
      </c>
    </row>
    <row r="66" spans="9:9" x14ac:dyDescent="0.25">
      <c r="I66">
        <v>7</v>
      </c>
    </row>
    <row r="67" spans="9:9" x14ac:dyDescent="0.25">
      <c r="I67">
        <v>7</v>
      </c>
    </row>
    <row r="68" spans="9:9" x14ac:dyDescent="0.25">
      <c r="I68">
        <v>5</v>
      </c>
    </row>
    <row r="69" spans="9:9" x14ac:dyDescent="0.25">
      <c r="I69">
        <v>4</v>
      </c>
    </row>
    <row r="70" spans="9:9" x14ac:dyDescent="0.25">
      <c r="I70">
        <v>6</v>
      </c>
    </row>
    <row r="71" spans="9:9" x14ac:dyDescent="0.25">
      <c r="I71">
        <v>4</v>
      </c>
    </row>
    <row r="72" spans="9:9" x14ac:dyDescent="0.25">
      <c r="I72">
        <v>6</v>
      </c>
    </row>
    <row r="73" spans="9:9" x14ac:dyDescent="0.25">
      <c r="I73">
        <v>7</v>
      </c>
    </row>
    <row r="74" spans="9:9" x14ac:dyDescent="0.25">
      <c r="I74">
        <v>8</v>
      </c>
    </row>
    <row r="75" spans="9:9" x14ac:dyDescent="0.25">
      <c r="I75">
        <v>2</v>
      </c>
    </row>
    <row r="76" spans="9:9" x14ac:dyDescent="0.25">
      <c r="I76">
        <v>2</v>
      </c>
    </row>
    <row r="77" spans="9:9" x14ac:dyDescent="0.25">
      <c r="I77">
        <v>2</v>
      </c>
    </row>
    <row r="78" spans="9:9" x14ac:dyDescent="0.25">
      <c r="I78">
        <v>8</v>
      </c>
    </row>
    <row r="79" spans="9:9" x14ac:dyDescent="0.25">
      <c r="I79">
        <v>5</v>
      </c>
    </row>
    <row r="80" spans="9:9" x14ac:dyDescent="0.25">
      <c r="I80">
        <v>9</v>
      </c>
    </row>
    <row r="81" spans="9:9" x14ac:dyDescent="0.25">
      <c r="I81">
        <v>3</v>
      </c>
    </row>
    <row r="82" spans="9:9" x14ac:dyDescent="0.25">
      <c r="I82">
        <v>4</v>
      </c>
    </row>
    <row r="83" spans="9:9" x14ac:dyDescent="0.25">
      <c r="I83">
        <v>7</v>
      </c>
    </row>
    <row r="84" spans="9:9" x14ac:dyDescent="0.25">
      <c r="I84">
        <v>3</v>
      </c>
    </row>
    <row r="85" spans="9:9" x14ac:dyDescent="0.25">
      <c r="I85">
        <v>6</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95D5B-3EFE-4C75-B415-D1DC6D90FDD9}">
  <dimension ref="A1:Y85"/>
  <sheetViews>
    <sheetView workbookViewId="0">
      <selection activeCell="Y3" sqref="Y3"/>
    </sheetView>
  </sheetViews>
  <sheetFormatPr defaultRowHeight="15" x14ac:dyDescent="0.25"/>
  <cols>
    <col min="1" max="1" width="10.42578125" bestFit="1" customWidth="1"/>
    <col min="2" max="2" width="9.7109375" bestFit="1" customWidth="1"/>
    <col min="3" max="3" width="11.28515625" bestFit="1" customWidth="1"/>
    <col min="4" max="4" width="10.28515625" bestFit="1" customWidth="1"/>
    <col min="5" max="5" width="5.85546875" bestFit="1" customWidth="1"/>
    <col min="6" max="6" width="7.42578125" bestFit="1" customWidth="1"/>
    <col min="7" max="7" width="3.85546875" bestFit="1" customWidth="1"/>
    <col min="8" max="8" width="7.85546875" bestFit="1" customWidth="1"/>
    <col min="9" max="10" width="5.85546875" bestFit="1" customWidth="1"/>
  </cols>
  <sheetData>
    <row r="1" spans="1:25" ht="26.25" x14ac:dyDescent="0.4">
      <c r="A1" s="3" t="s">
        <v>1470</v>
      </c>
      <c r="B1" t="s">
        <v>45</v>
      </c>
      <c r="C1" t="s">
        <v>76</v>
      </c>
      <c r="D1" t="s">
        <v>83</v>
      </c>
      <c r="E1" t="s">
        <v>120</v>
      </c>
      <c r="F1" t="s">
        <v>174</v>
      </c>
      <c r="G1" t="s">
        <v>207</v>
      </c>
      <c r="H1" t="s">
        <v>518</v>
      </c>
      <c r="I1" t="s">
        <v>1190</v>
      </c>
      <c r="J1" t="s">
        <v>1472</v>
      </c>
      <c r="Y1" t="s">
        <v>1727</v>
      </c>
    </row>
    <row r="2" spans="1:25" x14ac:dyDescent="0.25">
      <c r="B2" cm="1">
        <f t="array" ref="B2:B18">_xlfn._xlws.FILTER(monsters!$C$2:$C$331,monsters!$E$2:$E$331=DexByType!B1,"")</f>
        <v>5</v>
      </c>
      <c r="C2" cm="1">
        <f t="array" ref="C2:C38">_xlfn._xlws.FILTER(monsters!$C$2:$C$331,monsters!$E$2:$E$331=DexByType!C1,"")</f>
        <v>2</v>
      </c>
      <c r="D2" cm="1">
        <f t="array" ref="D2:D27">_xlfn._xlws.FILTER(monsters!$C$2:$C$331,monsters!$E$2:$E$331=DexByType!D1,"")</f>
        <v>8</v>
      </c>
      <c r="E2" cm="1">
        <f t="array" ref="E2:E30">_xlfn._xlws.FILTER(monsters!$C$2:$C$331,monsters!$E$2:$E$331=DexByType!E1,"")</f>
        <v>19</v>
      </c>
      <c r="F2" cm="1">
        <f t="array" ref="F2:F46">_xlfn._xlws.FILTER(monsters!$C$2:$C$331,monsters!$E$2:$E$331=DexByType!F1,"")</f>
        <v>2</v>
      </c>
      <c r="G2" cm="1">
        <f t="array" ref="G2:G16">_xlfn._xlws.FILTER(monsters!$C$2:$C$331,monsters!$E$2:$E$331=DexByType!G1,"")</f>
        <v>0.25</v>
      </c>
      <c r="H2" cm="1">
        <f t="array" ref="H2:H19">_xlfn._xlws.FILTER(monsters!$C$2:$C$331,monsters!$E$2:$E$331=DexByType!H1,"")</f>
        <v>2</v>
      </c>
      <c r="I2" cm="1">
        <f t="array" ref="I2:I85">_xlfn._xlws.FILTER(monsters!$C$2:$C$331,monsters!$E$2:$E$331=DexByType!I1,"")</f>
        <v>2</v>
      </c>
      <c r="J2" cm="1">
        <f t="array" ref="J2:J60">_xlfn._xlws.FILTER(monsters!$C$2:$C$331,(monsters!E2:E331&lt;&gt;DexByType!B1)*(monsters!E2:E331&lt;&gt;DexByType!C1)*(monsters!E2:E331&lt;&gt;DexByType!D1)*(monsters!E2:E331&lt;&gt;DexByType!E1)*(monsters!E2:E331&lt;&gt;DexByType!F1)*(monsters!E2:E331&lt;&gt;DexByType!G1)*(monsters!E2:E331&lt;&gt;DexByType!H1)*(monsters!E2:E331&lt;&gt;DexByType!I1),"")</f>
        <v>10</v>
      </c>
      <c r="Y2" t="s">
        <v>1728</v>
      </c>
    </row>
    <row r="3" spans="1:25" x14ac:dyDescent="0.25">
      <c r="B3">
        <v>2</v>
      </c>
      <c r="C3">
        <v>0.25</v>
      </c>
      <c r="D3">
        <v>0.125</v>
      </c>
      <c r="E3">
        <v>5</v>
      </c>
      <c r="F3">
        <v>7</v>
      </c>
      <c r="G3">
        <v>3</v>
      </c>
      <c r="H3">
        <v>4</v>
      </c>
      <c r="I3">
        <v>3</v>
      </c>
      <c r="J3">
        <v>1</v>
      </c>
    </row>
    <row r="4" spans="1:25" x14ac:dyDescent="0.25">
      <c r="B4">
        <v>11</v>
      </c>
      <c r="C4">
        <v>3</v>
      </c>
      <c r="D4">
        <v>2</v>
      </c>
      <c r="E4">
        <v>3</v>
      </c>
      <c r="F4">
        <v>14</v>
      </c>
      <c r="G4">
        <v>1</v>
      </c>
      <c r="H4">
        <v>1</v>
      </c>
      <c r="I4">
        <v>0.5</v>
      </c>
      <c r="J4">
        <v>0.25</v>
      </c>
    </row>
    <row r="5" spans="1:25" x14ac:dyDescent="0.25">
      <c r="B5">
        <v>5</v>
      </c>
      <c r="C5">
        <v>11</v>
      </c>
      <c r="D5">
        <v>2</v>
      </c>
      <c r="E5">
        <v>9</v>
      </c>
      <c r="F5">
        <v>21</v>
      </c>
      <c r="G5">
        <v>2</v>
      </c>
      <c r="H5">
        <v>21</v>
      </c>
      <c r="I5">
        <v>4</v>
      </c>
      <c r="J5">
        <v>2</v>
      </c>
    </row>
    <row r="6" spans="1:25" x14ac:dyDescent="0.25">
      <c r="B6">
        <v>11</v>
      </c>
      <c r="C6">
        <v>5</v>
      </c>
      <c r="D6">
        <v>0</v>
      </c>
      <c r="E6">
        <v>8</v>
      </c>
      <c r="F6">
        <v>3</v>
      </c>
      <c r="G6">
        <v>1</v>
      </c>
      <c r="H6">
        <v>3</v>
      </c>
      <c r="I6">
        <v>0</v>
      </c>
      <c r="J6">
        <v>0</v>
      </c>
    </row>
    <row r="7" spans="1:25" x14ac:dyDescent="0.25">
      <c r="B7">
        <v>5</v>
      </c>
      <c r="C7">
        <v>6</v>
      </c>
      <c r="D7">
        <v>0.125</v>
      </c>
      <c r="E7">
        <v>0.25</v>
      </c>
      <c r="F7">
        <v>9</v>
      </c>
      <c r="G7">
        <v>0.125</v>
      </c>
      <c r="H7">
        <v>15</v>
      </c>
      <c r="I7">
        <v>0</v>
      </c>
      <c r="J7">
        <v>2</v>
      </c>
    </row>
    <row r="8" spans="1:25" x14ac:dyDescent="0.25">
      <c r="B8">
        <v>2</v>
      </c>
      <c r="C8">
        <v>0.5</v>
      </c>
      <c r="D8">
        <v>2</v>
      </c>
      <c r="E8">
        <v>12</v>
      </c>
      <c r="F8">
        <v>16</v>
      </c>
      <c r="G8">
        <v>0.25</v>
      </c>
      <c r="H8">
        <v>0.5</v>
      </c>
      <c r="I8">
        <v>0</v>
      </c>
      <c r="J8">
        <v>4</v>
      </c>
    </row>
    <row r="9" spans="1:25" x14ac:dyDescent="0.25">
      <c r="B9">
        <v>6</v>
      </c>
      <c r="C9">
        <v>1</v>
      </c>
      <c r="D9">
        <v>2</v>
      </c>
      <c r="E9">
        <v>9</v>
      </c>
      <c r="F9">
        <v>23</v>
      </c>
      <c r="G9">
        <v>1</v>
      </c>
      <c r="H9">
        <v>0.25</v>
      </c>
      <c r="I9">
        <v>0.5</v>
      </c>
      <c r="J9">
        <v>4</v>
      </c>
    </row>
    <row r="10" spans="1:25" x14ac:dyDescent="0.25">
      <c r="B10">
        <v>0.5</v>
      </c>
      <c r="C10">
        <v>3</v>
      </c>
      <c r="D10">
        <v>5</v>
      </c>
      <c r="E10">
        <v>0.5</v>
      </c>
      <c r="F10">
        <v>1</v>
      </c>
      <c r="G10">
        <v>3</v>
      </c>
      <c r="H10">
        <v>0.5</v>
      </c>
      <c r="I10">
        <v>0.125</v>
      </c>
      <c r="J10">
        <v>9</v>
      </c>
    </row>
    <row r="11" spans="1:25" x14ac:dyDescent="0.25">
      <c r="B11">
        <v>0.5</v>
      </c>
      <c r="C11">
        <v>6</v>
      </c>
      <c r="D11">
        <v>0.125</v>
      </c>
      <c r="E11">
        <v>3</v>
      </c>
      <c r="F11">
        <v>6</v>
      </c>
      <c r="G11">
        <v>0.5</v>
      </c>
      <c r="H11">
        <v>2</v>
      </c>
      <c r="I11">
        <v>0.25</v>
      </c>
      <c r="J11">
        <v>8</v>
      </c>
    </row>
    <row r="12" spans="1:25" x14ac:dyDescent="0.25">
      <c r="B12">
        <v>0.5</v>
      </c>
      <c r="C12">
        <v>2</v>
      </c>
      <c r="D12">
        <v>4</v>
      </c>
      <c r="E12">
        <v>8</v>
      </c>
      <c r="F12">
        <v>13</v>
      </c>
      <c r="G12">
        <v>3</v>
      </c>
      <c r="H12">
        <v>1</v>
      </c>
      <c r="I12">
        <v>1</v>
      </c>
      <c r="J12">
        <v>9</v>
      </c>
    </row>
    <row r="13" spans="1:25" x14ac:dyDescent="0.25">
      <c r="B13">
        <v>0.5</v>
      </c>
      <c r="C13">
        <v>2</v>
      </c>
      <c r="D13">
        <v>3</v>
      </c>
      <c r="E13">
        <v>11</v>
      </c>
      <c r="F13">
        <v>20</v>
      </c>
      <c r="G13">
        <v>0.5</v>
      </c>
      <c r="H13">
        <v>5</v>
      </c>
      <c r="I13">
        <v>0.125</v>
      </c>
      <c r="J13">
        <v>4</v>
      </c>
    </row>
    <row r="14" spans="1:25" x14ac:dyDescent="0.25">
      <c r="B14">
        <v>0.25</v>
      </c>
      <c r="C14">
        <v>1</v>
      </c>
      <c r="D14">
        <v>6</v>
      </c>
      <c r="E14">
        <v>14</v>
      </c>
      <c r="F14">
        <v>2</v>
      </c>
      <c r="G14">
        <v>2</v>
      </c>
      <c r="H14">
        <v>13</v>
      </c>
      <c r="I14">
        <v>0</v>
      </c>
      <c r="J14">
        <v>3</v>
      </c>
    </row>
    <row r="15" spans="1:25" x14ac:dyDescent="0.25">
      <c r="B15">
        <v>0.125</v>
      </c>
      <c r="C15">
        <v>1</v>
      </c>
      <c r="D15">
        <v>12</v>
      </c>
      <c r="E15">
        <v>1</v>
      </c>
      <c r="F15">
        <v>8</v>
      </c>
      <c r="G15">
        <v>0.25</v>
      </c>
      <c r="H15">
        <v>3</v>
      </c>
      <c r="I15">
        <v>0.25</v>
      </c>
      <c r="J15">
        <v>0.5</v>
      </c>
    </row>
    <row r="16" spans="1:25" x14ac:dyDescent="0.25">
      <c r="B16">
        <v>5</v>
      </c>
      <c r="C16">
        <v>8</v>
      </c>
      <c r="D16">
        <v>0.125</v>
      </c>
      <c r="E16">
        <v>4</v>
      </c>
      <c r="F16">
        <v>15</v>
      </c>
      <c r="G16">
        <v>0.5</v>
      </c>
      <c r="H16">
        <v>2</v>
      </c>
      <c r="I16">
        <v>0</v>
      </c>
      <c r="J16">
        <v>10</v>
      </c>
    </row>
    <row r="17" spans="2:10" x14ac:dyDescent="0.25">
      <c r="B17">
        <v>5</v>
      </c>
      <c r="C17">
        <v>23</v>
      </c>
      <c r="D17">
        <v>1</v>
      </c>
      <c r="E17">
        <v>4</v>
      </c>
      <c r="F17">
        <v>22</v>
      </c>
      <c r="H17">
        <v>5</v>
      </c>
      <c r="I17">
        <v>0.5</v>
      </c>
      <c r="J17">
        <v>4</v>
      </c>
    </row>
    <row r="18" spans="2:10" x14ac:dyDescent="0.25">
      <c r="B18">
        <v>5</v>
      </c>
      <c r="C18">
        <v>3</v>
      </c>
      <c r="D18">
        <v>6</v>
      </c>
      <c r="E18">
        <v>0</v>
      </c>
      <c r="F18">
        <v>1</v>
      </c>
      <c r="H18">
        <v>0.25</v>
      </c>
      <c r="I18">
        <v>0</v>
      </c>
      <c r="J18">
        <v>9</v>
      </c>
    </row>
    <row r="19" spans="2:10" x14ac:dyDescent="0.25">
      <c r="C19">
        <v>6</v>
      </c>
      <c r="D19">
        <v>0.25</v>
      </c>
      <c r="E19">
        <v>16</v>
      </c>
      <c r="F19">
        <v>7</v>
      </c>
      <c r="H19">
        <v>2</v>
      </c>
      <c r="I19">
        <v>1</v>
      </c>
      <c r="J19">
        <v>5</v>
      </c>
    </row>
    <row r="20" spans="2:10" x14ac:dyDescent="0.25">
      <c r="C20">
        <v>2</v>
      </c>
      <c r="D20">
        <v>2</v>
      </c>
      <c r="E20">
        <v>13</v>
      </c>
      <c r="F20">
        <v>14</v>
      </c>
      <c r="I20">
        <v>0.25</v>
      </c>
      <c r="J20">
        <v>8</v>
      </c>
    </row>
    <row r="21" spans="2:10" x14ac:dyDescent="0.25">
      <c r="C21">
        <v>2</v>
      </c>
      <c r="D21">
        <v>0.5</v>
      </c>
      <c r="E21">
        <v>5</v>
      </c>
      <c r="F21">
        <v>21</v>
      </c>
      <c r="I21">
        <v>0</v>
      </c>
      <c r="J21">
        <v>0</v>
      </c>
    </row>
    <row r="22" spans="2:10" x14ac:dyDescent="0.25">
      <c r="C22">
        <v>3</v>
      </c>
      <c r="D22">
        <v>1</v>
      </c>
      <c r="E22">
        <v>3</v>
      </c>
      <c r="F22">
        <v>17</v>
      </c>
      <c r="I22">
        <v>4</v>
      </c>
      <c r="J22">
        <v>0.25</v>
      </c>
    </row>
    <row r="23" spans="2:10" x14ac:dyDescent="0.25">
      <c r="C23">
        <v>3</v>
      </c>
      <c r="D23">
        <v>0.5</v>
      </c>
      <c r="E23">
        <v>7</v>
      </c>
      <c r="F23">
        <v>3</v>
      </c>
      <c r="I23">
        <v>0.25</v>
      </c>
      <c r="J23">
        <v>2</v>
      </c>
    </row>
    <row r="24" spans="2:10" x14ac:dyDescent="0.25">
      <c r="C24">
        <v>3</v>
      </c>
      <c r="D24">
        <v>4</v>
      </c>
      <c r="E24">
        <v>20</v>
      </c>
      <c r="F24">
        <v>10</v>
      </c>
      <c r="I24">
        <v>0</v>
      </c>
      <c r="J24">
        <v>2</v>
      </c>
    </row>
    <row r="25" spans="2:10" x14ac:dyDescent="0.25">
      <c r="C25">
        <v>15</v>
      </c>
      <c r="D25">
        <v>3</v>
      </c>
      <c r="E25">
        <v>1</v>
      </c>
      <c r="F25">
        <v>17</v>
      </c>
      <c r="I25">
        <v>7</v>
      </c>
      <c r="J25">
        <v>5</v>
      </c>
    </row>
    <row r="26" spans="2:10" x14ac:dyDescent="0.25">
      <c r="C26">
        <v>11</v>
      </c>
      <c r="D26">
        <v>0.125</v>
      </c>
      <c r="E26">
        <v>13</v>
      </c>
      <c r="F26">
        <v>24</v>
      </c>
      <c r="I26">
        <v>0.25</v>
      </c>
      <c r="J26">
        <v>0.5</v>
      </c>
    </row>
    <row r="27" spans="2:10" x14ac:dyDescent="0.25">
      <c r="C27">
        <v>11</v>
      </c>
      <c r="D27">
        <v>3</v>
      </c>
      <c r="E27">
        <v>0.5</v>
      </c>
      <c r="F27">
        <v>2</v>
      </c>
      <c r="I27">
        <v>0.25</v>
      </c>
      <c r="J27">
        <v>2</v>
      </c>
    </row>
    <row r="28" spans="2:10" x14ac:dyDescent="0.25">
      <c r="C28">
        <v>0.5</v>
      </c>
      <c r="E28">
        <v>8</v>
      </c>
      <c r="F28">
        <v>8</v>
      </c>
      <c r="I28">
        <v>2</v>
      </c>
      <c r="J28">
        <v>0.25</v>
      </c>
    </row>
    <row r="29" spans="2:10" x14ac:dyDescent="0.25">
      <c r="C29">
        <v>0.125</v>
      </c>
      <c r="E29">
        <v>4</v>
      </c>
      <c r="F29">
        <v>15</v>
      </c>
      <c r="I29">
        <v>0.25</v>
      </c>
      <c r="J29">
        <v>10</v>
      </c>
    </row>
    <row r="30" spans="2:10" x14ac:dyDescent="0.25">
      <c r="C30">
        <v>30</v>
      </c>
      <c r="E30">
        <v>6</v>
      </c>
      <c r="F30">
        <v>22</v>
      </c>
      <c r="I30">
        <v>2</v>
      </c>
      <c r="J30">
        <v>5</v>
      </c>
    </row>
    <row r="31" spans="2:10" x14ac:dyDescent="0.25">
      <c r="C31">
        <v>5</v>
      </c>
      <c r="F31">
        <v>5</v>
      </c>
      <c r="I31">
        <v>0.125</v>
      </c>
      <c r="J31">
        <v>0</v>
      </c>
    </row>
    <row r="32" spans="2:10" x14ac:dyDescent="0.25">
      <c r="C32">
        <v>4</v>
      </c>
      <c r="F32">
        <v>0.125</v>
      </c>
      <c r="I32">
        <v>5</v>
      </c>
      <c r="J32">
        <v>16</v>
      </c>
    </row>
    <row r="33" spans="3:10" x14ac:dyDescent="0.25">
      <c r="C33">
        <v>2</v>
      </c>
      <c r="F33">
        <v>0.25</v>
      </c>
      <c r="I33">
        <v>0</v>
      </c>
      <c r="J33">
        <v>2</v>
      </c>
    </row>
    <row r="34" spans="3:10" x14ac:dyDescent="0.25">
      <c r="C34">
        <v>4</v>
      </c>
      <c r="F34">
        <v>4</v>
      </c>
      <c r="I34">
        <v>0.25</v>
      </c>
      <c r="J34">
        <v>2</v>
      </c>
    </row>
    <row r="35" spans="3:10" x14ac:dyDescent="0.25">
      <c r="C35">
        <v>3</v>
      </c>
      <c r="F35">
        <v>10</v>
      </c>
      <c r="I35">
        <v>0.5</v>
      </c>
      <c r="J35">
        <v>5</v>
      </c>
    </row>
    <row r="36" spans="3:10" x14ac:dyDescent="0.25">
      <c r="C36">
        <v>3</v>
      </c>
      <c r="F36">
        <v>17</v>
      </c>
      <c r="I36">
        <v>1</v>
      </c>
      <c r="J36">
        <v>2</v>
      </c>
    </row>
    <row r="37" spans="3:10" x14ac:dyDescent="0.25">
      <c r="C37">
        <v>0.125</v>
      </c>
      <c r="F37">
        <v>24</v>
      </c>
      <c r="I37">
        <v>0.25</v>
      </c>
      <c r="J37">
        <v>16</v>
      </c>
    </row>
    <row r="38" spans="3:10" x14ac:dyDescent="0.25">
      <c r="C38">
        <v>1</v>
      </c>
      <c r="F38">
        <v>2</v>
      </c>
      <c r="I38">
        <v>1</v>
      </c>
      <c r="J38">
        <v>5</v>
      </c>
    </row>
    <row r="39" spans="3:10" x14ac:dyDescent="0.25">
      <c r="F39">
        <v>9</v>
      </c>
      <c r="I39">
        <v>0.125</v>
      </c>
      <c r="J39">
        <v>5</v>
      </c>
    </row>
    <row r="40" spans="3:10" x14ac:dyDescent="0.25">
      <c r="F40">
        <v>16</v>
      </c>
      <c r="I40">
        <v>3</v>
      </c>
      <c r="J40">
        <v>7</v>
      </c>
    </row>
    <row r="41" spans="3:10" x14ac:dyDescent="0.25">
      <c r="F41">
        <v>23</v>
      </c>
      <c r="I41">
        <v>0.5</v>
      </c>
      <c r="J41">
        <v>21</v>
      </c>
    </row>
    <row r="42" spans="3:10" x14ac:dyDescent="0.25">
      <c r="F42">
        <v>2</v>
      </c>
      <c r="I42">
        <v>5</v>
      </c>
      <c r="J42">
        <v>1</v>
      </c>
    </row>
    <row r="43" spans="3:10" x14ac:dyDescent="0.25">
      <c r="F43">
        <v>6</v>
      </c>
      <c r="I43">
        <v>1</v>
      </c>
      <c r="J43">
        <v>11</v>
      </c>
    </row>
    <row r="44" spans="3:10" x14ac:dyDescent="0.25">
      <c r="F44">
        <v>13</v>
      </c>
      <c r="I44">
        <v>1</v>
      </c>
      <c r="J44">
        <v>17</v>
      </c>
    </row>
    <row r="45" spans="3:10" x14ac:dyDescent="0.25">
      <c r="F45">
        <v>20</v>
      </c>
      <c r="I45">
        <v>0.25</v>
      </c>
      <c r="J45">
        <v>7</v>
      </c>
    </row>
    <row r="46" spans="3:10" x14ac:dyDescent="0.25">
      <c r="F46">
        <v>6</v>
      </c>
      <c r="I46">
        <v>0.5</v>
      </c>
      <c r="J46">
        <v>10</v>
      </c>
    </row>
    <row r="47" spans="3:10" x14ac:dyDescent="0.25">
      <c r="I47">
        <v>0.125</v>
      </c>
      <c r="J47">
        <v>13</v>
      </c>
    </row>
    <row r="48" spans="3:10" x14ac:dyDescent="0.25">
      <c r="I48">
        <v>0.25</v>
      </c>
      <c r="J48">
        <v>9</v>
      </c>
    </row>
    <row r="49" spans="9:10" x14ac:dyDescent="0.25">
      <c r="I49">
        <v>0</v>
      </c>
      <c r="J49">
        <v>5</v>
      </c>
    </row>
    <row r="50" spans="9:10" x14ac:dyDescent="0.25">
      <c r="I50">
        <v>0</v>
      </c>
      <c r="J50">
        <v>0.5</v>
      </c>
    </row>
    <row r="51" spans="9:10" x14ac:dyDescent="0.25">
      <c r="I51">
        <v>4</v>
      </c>
      <c r="J51">
        <v>5</v>
      </c>
    </row>
    <row r="52" spans="9:10" x14ac:dyDescent="0.25">
      <c r="I52">
        <v>2</v>
      </c>
      <c r="J52">
        <v>1</v>
      </c>
    </row>
    <row r="53" spans="9:10" x14ac:dyDescent="0.25">
      <c r="I53">
        <v>0</v>
      </c>
      <c r="J53">
        <v>2</v>
      </c>
    </row>
    <row r="54" spans="9:10" x14ac:dyDescent="0.25">
      <c r="I54">
        <v>0</v>
      </c>
      <c r="J54">
        <v>0.25</v>
      </c>
    </row>
    <row r="55" spans="9:10" x14ac:dyDescent="0.25">
      <c r="I55">
        <v>3</v>
      </c>
      <c r="J55">
        <v>0.25</v>
      </c>
    </row>
    <row r="56" spans="9:10" x14ac:dyDescent="0.25">
      <c r="I56">
        <v>1</v>
      </c>
      <c r="J56">
        <v>0.5</v>
      </c>
    </row>
    <row r="57" spans="9:10" x14ac:dyDescent="0.25">
      <c r="I57">
        <v>0</v>
      </c>
      <c r="J57">
        <v>1</v>
      </c>
    </row>
    <row r="58" spans="9:10" x14ac:dyDescent="0.25">
      <c r="I58">
        <v>6</v>
      </c>
      <c r="J58">
        <v>0.25</v>
      </c>
    </row>
    <row r="59" spans="9:10" x14ac:dyDescent="0.25">
      <c r="I59">
        <v>0.125</v>
      </c>
      <c r="J59">
        <v>0.25</v>
      </c>
    </row>
    <row r="60" spans="9:10" x14ac:dyDescent="0.25">
      <c r="I60">
        <v>0.125</v>
      </c>
      <c r="J60">
        <v>2</v>
      </c>
    </row>
    <row r="61" spans="9:10" x14ac:dyDescent="0.25">
      <c r="I61">
        <v>0</v>
      </c>
    </row>
    <row r="62" spans="9:10" x14ac:dyDescent="0.25">
      <c r="I62">
        <v>0</v>
      </c>
    </row>
    <row r="63" spans="9:10" x14ac:dyDescent="0.25">
      <c r="I63">
        <v>0.25</v>
      </c>
    </row>
    <row r="64" spans="9:10" x14ac:dyDescent="0.25">
      <c r="I64">
        <v>0</v>
      </c>
    </row>
    <row r="65" spans="9:9" x14ac:dyDescent="0.25">
      <c r="I65">
        <v>2</v>
      </c>
    </row>
    <row r="66" spans="9:9" x14ac:dyDescent="0.25">
      <c r="I66">
        <v>2</v>
      </c>
    </row>
    <row r="67" spans="9:9" x14ac:dyDescent="0.25">
      <c r="I67">
        <v>0.125</v>
      </c>
    </row>
    <row r="68" spans="9:9" x14ac:dyDescent="0.25">
      <c r="I68">
        <v>0.25</v>
      </c>
    </row>
    <row r="69" spans="9:9" x14ac:dyDescent="0.25">
      <c r="I69">
        <v>0</v>
      </c>
    </row>
    <row r="70" spans="9:9" x14ac:dyDescent="0.25">
      <c r="I70">
        <v>0</v>
      </c>
    </row>
    <row r="71" spans="9:9" x14ac:dyDescent="0.25">
      <c r="I71">
        <v>0.5</v>
      </c>
    </row>
    <row r="72" spans="9:9" x14ac:dyDescent="0.25">
      <c r="I72">
        <v>2</v>
      </c>
    </row>
    <row r="73" spans="9:9" x14ac:dyDescent="0.25">
      <c r="I73">
        <v>0.25</v>
      </c>
    </row>
    <row r="74" spans="9:9" x14ac:dyDescent="0.25">
      <c r="I74">
        <v>2</v>
      </c>
    </row>
    <row r="75" spans="9:9" x14ac:dyDescent="0.25">
      <c r="I75">
        <v>0</v>
      </c>
    </row>
    <row r="76" spans="9:9" x14ac:dyDescent="0.25">
      <c r="I76">
        <v>0</v>
      </c>
    </row>
    <row r="77" spans="9:9" x14ac:dyDescent="0.25">
      <c r="I77">
        <v>0</v>
      </c>
    </row>
    <row r="78" spans="9:9" x14ac:dyDescent="0.25">
      <c r="I78">
        <v>1</v>
      </c>
    </row>
    <row r="79" spans="9:9" x14ac:dyDescent="0.25">
      <c r="I79">
        <v>5</v>
      </c>
    </row>
    <row r="80" spans="9:9" x14ac:dyDescent="0.25">
      <c r="I80">
        <v>8</v>
      </c>
    </row>
    <row r="81" spans="9:9" x14ac:dyDescent="0.25">
      <c r="I81">
        <v>0.125</v>
      </c>
    </row>
    <row r="82" spans="9:9" x14ac:dyDescent="0.25">
      <c r="I82">
        <v>0</v>
      </c>
    </row>
    <row r="83" spans="9:9" x14ac:dyDescent="0.25">
      <c r="I83">
        <v>0.5</v>
      </c>
    </row>
    <row r="84" spans="9:9" x14ac:dyDescent="0.25">
      <c r="I84">
        <v>0</v>
      </c>
    </row>
    <row r="85" spans="9:9" x14ac:dyDescent="0.25">
      <c r="I85">
        <v>0.25</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26B52-02BF-4E05-8960-ECB9AF10535E}">
  <dimension ref="A1:K331"/>
  <sheetViews>
    <sheetView workbookViewId="0">
      <selection activeCell="N25" sqref="N25"/>
    </sheetView>
  </sheetViews>
  <sheetFormatPr defaultRowHeight="15" x14ac:dyDescent="0.25"/>
  <cols>
    <col min="1" max="1" width="81" bestFit="1" customWidth="1"/>
    <col min="8" max="8" width="18.28515625" bestFit="1" customWidth="1"/>
  </cols>
  <sheetData>
    <row r="1" spans="1:11" ht="28.5" x14ac:dyDescent="0.45">
      <c r="A1" s="4" t="s">
        <v>31</v>
      </c>
      <c r="H1" t="s">
        <v>1470</v>
      </c>
      <c r="K1" t="s">
        <v>1729</v>
      </c>
    </row>
    <row r="2" spans="1:11" x14ac:dyDescent="0.25">
      <c r="A2" t="s">
        <v>42</v>
      </c>
      <c r="H2" t="s">
        <v>1699</v>
      </c>
      <c r="I2">
        <f>COUNTIF($A$2:$A$331,"*"&amp;H2&amp;"*")</f>
        <v>3</v>
      </c>
    </row>
    <row r="3" spans="1:11" x14ac:dyDescent="0.25">
      <c r="A3" t="s">
        <v>52</v>
      </c>
      <c r="H3" t="s">
        <v>1700</v>
      </c>
      <c r="I3">
        <f t="shared" ref="I3:I25" si="0">COUNTIF($A$2:$A$331,"*"&amp;H3&amp;"*")</f>
        <v>6</v>
      </c>
    </row>
    <row r="4" spans="1:11" x14ac:dyDescent="0.25">
      <c r="A4" t="s">
        <v>63</v>
      </c>
      <c r="H4" t="s">
        <v>1709</v>
      </c>
      <c r="I4">
        <f t="shared" si="0"/>
        <v>7</v>
      </c>
    </row>
    <row r="5" spans="1:11" x14ac:dyDescent="0.25">
      <c r="A5" t="s">
        <v>63</v>
      </c>
      <c r="H5" t="s">
        <v>1710</v>
      </c>
      <c r="I5">
        <f t="shared" si="0"/>
        <v>7</v>
      </c>
    </row>
    <row r="6" spans="1:11" x14ac:dyDescent="0.25">
      <c r="A6" t="s">
        <v>63</v>
      </c>
      <c r="H6" t="s">
        <v>1711</v>
      </c>
      <c r="I6">
        <f t="shared" si="0"/>
        <v>5</v>
      </c>
    </row>
    <row r="7" spans="1:11" x14ac:dyDescent="0.25">
      <c r="A7" t="s">
        <v>63</v>
      </c>
      <c r="H7" t="s">
        <v>1708</v>
      </c>
      <c r="I7">
        <f>COUNTIF($A$2:$A$331,"*"&amp;H7&amp;"*")</f>
        <v>23</v>
      </c>
    </row>
    <row r="8" spans="1:11" x14ac:dyDescent="0.25">
      <c r="A8" t="s">
        <v>1479</v>
      </c>
      <c r="H8" s="7" t="s">
        <v>170</v>
      </c>
      <c r="I8" s="7">
        <f t="shared" si="0"/>
        <v>129</v>
      </c>
    </row>
    <row r="9" spans="1:11" x14ac:dyDescent="0.25">
      <c r="A9" t="s">
        <v>100</v>
      </c>
      <c r="H9" t="s">
        <v>1701</v>
      </c>
      <c r="I9">
        <f t="shared" si="0"/>
        <v>3</v>
      </c>
    </row>
    <row r="10" spans="1:11" x14ac:dyDescent="0.25">
      <c r="A10" t="s">
        <v>100</v>
      </c>
      <c r="H10" t="s">
        <v>801</v>
      </c>
      <c r="I10">
        <f t="shared" si="0"/>
        <v>18</v>
      </c>
    </row>
    <row r="11" spans="1:11" x14ac:dyDescent="0.25">
      <c r="A11" t="s">
        <v>63</v>
      </c>
      <c r="H11" t="s">
        <v>373</v>
      </c>
      <c r="I11">
        <f t="shared" si="0"/>
        <v>10</v>
      </c>
    </row>
    <row r="12" spans="1:11" x14ac:dyDescent="0.25">
      <c r="A12" t="s">
        <v>117</v>
      </c>
      <c r="H12" t="s">
        <v>165</v>
      </c>
      <c r="I12">
        <f t="shared" si="0"/>
        <v>46</v>
      </c>
    </row>
    <row r="13" spans="1:11" x14ac:dyDescent="0.25">
      <c r="A13" t="s">
        <v>129</v>
      </c>
      <c r="H13" t="s">
        <v>1702</v>
      </c>
      <c r="I13">
        <f t="shared" si="0"/>
        <v>2</v>
      </c>
    </row>
    <row r="14" spans="1:11" x14ac:dyDescent="0.25">
      <c r="A14" t="s">
        <v>1479</v>
      </c>
      <c r="H14" t="s">
        <v>1703</v>
      </c>
      <c r="I14">
        <f t="shared" si="0"/>
        <v>17</v>
      </c>
    </row>
    <row r="15" spans="1:11" x14ac:dyDescent="0.25">
      <c r="A15" t="s">
        <v>1479</v>
      </c>
      <c r="H15" t="s">
        <v>1704</v>
      </c>
      <c r="I15">
        <f t="shared" si="0"/>
        <v>12</v>
      </c>
    </row>
    <row r="16" spans="1:11" x14ac:dyDescent="0.25">
      <c r="A16" t="s">
        <v>148</v>
      </c>
      <c r="H16" t="s">
        <v>1705</v>
      </c>
      <c r="I16">
        <f t="shared" si="0"/>
        <v>12</v>
      </c>
    </row>
    <row r="17" spans="1:9" x14ac:dyDescent="0.25">
      <c r="A17" t="s">
        <v>63</v>
      </c>
      <c r="H17" t="s">
        <v>339</v>
      </c>
      <c r="I17">
        <f t="shared" si="0"/>
        <v>13</v>
      </c>
    </row>
    <row r="18" spans="1:9" x14ac:dyDescent="0.25">
      <c r="A18" t="s">
        <v>148</v>
      </c>
      <c r="H18" t="s">
        <v>206</v>
      </c>
      <c r="I18">
        <f t="shared" si="0"/>
        <v>1</v>
      </c>
    </row>
    <row r="19" spans="1:9" x14ac:dyDescent="0.25">
      <c r="A19" t="s">
        <v>165</v>
      </c>
      <c r="H19" t="s">
        <v>1706</v>
      </c>
      <c r="I19">
        <f t="shared" si="0"/>
        <v>8</v>
      </c>
    </row>
    <row r="20" spans="1:9" x14ac:dyDescent="0.25">
      <c r="A20" t="s">
        <v>170</v>
      </c>
      <c r="H20" t="s">
        <v>547</v>
      </c>
      <c r="I20">
        <f t="shared" si="0"/>
        <v>1</v>
      </c>
    </row>
    <row r="21" spans="1:9" x14ac:dyDescent="0.25">
      <c r="A21" t="s">
        <v>165</v>
      </c>
      <c r="H21" t="s">
        <v>843</v>
      </c>
      <c r="I21">
        <f t="shared" si="0"/>
        <v>1</v>
      </c>
    </row>
    <row r="22" spans="1:9" x14ac:dyDescent="0.25">
      <c r="A22" t="s">
        <v>186</v>
      </c>
      <c r="H22" t="s">
        <v>934</v>
      </c>
      <c r="I22">
        <f t="shared" si="0"/>
        <v>1</v>
      </c>
    </row>
    <row r="23" spans="1:9" x14ac:dyDescent="0.25">
      <c r="A23" t="s">
        <v>186</v>
      </c>
      <c r="H23" t="s">
        <v>1707</v>
      </c>
      <c r="I23">
        <f t="shared" si="0"/>
        <v>2</v>
      </c>
    </row>
    <row r="24" spans="1:9" x14ac:dyDescent="0.25">
      <c r="A24" t="s">
        <v>186</v>
      </c>
      <c r="H24" t="s">
        <v>1163</v>
      </c>
      <c r="I24">
        <f t="shared" si="0"/>
        <v>1</v>
      </c>
    </row>
    <row r="25" spans="1:9" x14ac:dyDescent="0.25">
      <c r="A25" t="s">
        <v>63</v>
      </c>
      <c r="H25" t="s">
        <v>739</v>
      </c>
      <c r="I25">
        <f t="shared" si="0"/>
        <v>6</v>
      </c>
    </row>
    <row r="26" spans="1:9" x14ac:dyDescent="0.25">
      <c r="A26" t="s">
        <v>1491</v>
      </c>
    </row>
    <row r="27" spans="1:9" x14ac:dyDescent="0.25">
      <c r="A27" t="s">
        <v>165</v>
      </c>
    </row>
    <row r="28" spans="1:9" x14ac:dyDescent="0.25">
      <c r="A28" t="s">
        <v>186</v>
      </c>
    </row>
    <row r="29" spans="1:9" x14ac:dyDescent="0.25">
      <c r="A29" t="s">
        <v>186</v>
      </c>
    </row>
    <row r="30" spans="1:9" x14ac:dyDescent="0.25">
      <c r="A30" t="s">
        <v>186</v>
      </c>
    </row>
    <row r="31" spans="1:9" x14ac:dyDescent="0.25">
      <c r="A31" t="s">
        <v>148</v>
      </c>
    </row>
    <row r="32" spans="1:9" x14ac:dyDescent="0.25">
      <c r="A32" t="s">
        <v>165</v>
      </c>
    </row>
    <row r="33" spans="1:1" x14ac:dyDescent="0.25">
      <c r="A33" t="s">
        <v>186</v>
      </c>
    </row>
    <row r="34" spans="1:1" x14ac:dyDescent="0.25">
      <c r="A34" t="s">
        <v>186</v>
      </c>
    </row>
    <row r="35" spans="1:1" x14ac:dyDescent="0.25">
      <c r="A35" t="s">
        <v>186</v>
      </c>
    </row>
    <row r="36" spans="1:1" x14ac:dyDescent="0.25">
      <c r="A36" t="s">
        <v>165</v>
      </c>
    </row>
    <row r="37" spans="1:1" x14ac:dyDescent="0.25">
      <c r="A37" t="s">
        <v>186</v>
      </c>
    </row>
    <row r="38" spans="1:1" x14ac:dyDescent="0.25">
      <c r="A38" t="s">
        <v>186</v>
      </c>
    </row>
    <row r="39" spans="1:1" x14ac:dyDescent="0.25">
      <c r="A39" t="s">
        <v>186</v>
      </c>
    </row>
    <row r="40" spans="1:1" x14ac:dyDescent="0.25">
      <c r="A40" t="s">
        <v>284</v>
      </c>
    </row>
    <row r="41" spans="1:1" x14ac:dyDescent="0.25">
      <c r="A41" t="s">
        <v>284</v>
      </c>
    </row>
    <row r="42" spans="1:1" x14ac:dyDescent="0.25">
      <c r="A42" t="s">
        <v>63</v>
      </c>
    </row>
    <row r="43" spans="1:1" x14ac:dyDescent="0.25">
      <c r="A43" t="s">
        <v>302</v>
      </c>
    </row>
    <row r="44" spans="1:1" x14ac:dyDescent="0.25">
      <c r="A44" t="s">
        <v>148</v>
      </c>
    </row>
    <row r="45" spans="1:1" x14ac:dyDescent="0.25">
      <c r="A45" t="s">
        <v>1504</v>
      </c>
    </row>
    <row r="46" spans="1:1" x14ac:dyDescent="0.25">
      <c r="A46" t="s">
        <v>1506</v>
      </c>
    </row>
    <row r="47" spans="1:1" x14ac:dyDescent="0.25">
      <c r="A47" t="s">
        <v>100</v>
      </c>
    </row>
    <row r="48" spans="1:1" x14ac:dyDescent="0.25">
      <c r="A48" t="s">
        <v>336</v>
      </c>
    </row>
    <row r="49" spans="1:1" x14ac:dyDescent="0.25">
      <c r="A49" t="s">
        <v>344</v>
      </c>
    </row>
    <row r="50" spans="1:1" x14ac:dyDescent="0.25">
      <c r="A50" t="s">
        <v>63</v>
      </c>
    </row>
    <row r="51" spans="1:1" x14ac:dyDescent="0.25">
      <c r="A51" t="s">
        <v>170</v>
      </c>
    </row>
    <row r="52" spans="1:1" x14ac:dyDescent="0.25">
      <c r="A52" t="s">
        <v>165</v>
      </c>
    </row>
    <row r="53" spans="1:1" x14ac:dyDescent="0.25">
      <c r="A53" t="s">
        <v>186</v>
      </c>
    </row>
    <row r="54" spans="1:1" x14ac:dyDescent="0.25">
      <c r="A54" t="s">
        <v>186</v>
      </c>
    </row>
    <row r="55" spans="1:1" x14ac:dyDescent="0.25">
      <c r="A55" t="s">
        <v>186</v>
      </c>
    </row>
    <row r="56" spans="1:1" x14ac:dyDescent="0.25">
      <c r="A56" t="s">
        <v>378</v>
      </c>
    </row>
    <row r="57" spans="1:1" x14ac:dyDescent="0.25">
      <c r="A57" t="s">
        <v>1516</v>
      </c>
    </row>
    <row r="58" spans="1:1" x14ac:dyDescent="0.25">
      <c r="A58" t="s">
        <v>170</v>
      </c>
    </row>
    <row r="59" spans="1:1" x14ac:dyDescent="0.25">
      <c r="A59" t="s">
        <v>170</v>
      </c>
    </row>
    <row r="60" spans="1:1" x14ac:dyDescent="0.25">
      <c r="A60" t="s">
        <v>63</v>
      </c>
    </row>
    <row r="61" spans="1:1" x14ac:dyDescent="0.25">
      <c r="A61" t="s">
        <v>63</v>
      </c>
    </row>
    <row r="62" spans="1:1" x14ac:dyDescent="0.25">
      <c r="A62" t="s">
        <v>378</v>
      </c>
    </row>
    <row r="63" spans="1:1" x14ac:dyDescent="0.25">
      <c r="A63" t="s">
        <v>52</v>
      </c>
    </row>
    <row r="64" spans="1:1" x14ac:dyDescent="0.25">
      <c r="A64" t="s">
        <v>428</v>
      </c>
    </row>
    <row r="65" spans="1:1" x14ac:dyDescent="0.25">
      <c r="A65" t="s">
        <v>434</v>
      </c>
    </row>
    <row r="66" spans="1:1" x14ac:dyDescent="0.25">
      <c r="A66" t="s">
        <v>439</v>
      </c>
    </row>
    <row r="67" spans="1:1" x14ac:dyDescent="0.25">
      <c r="A67" t="s">
        <v>444</v>
      </c>
    </row>
    <row r="68" spans="1:1" x14ac:dyDescent="0.25">
      <c r="A68" t="s">
        <v>450</v>
      </c>
    </row>
    <row r="69" spans="1:1" x14ac:dyDescent="0.25">
      <c r="A69" t="s">
        <v>302</v>
      </c>
    </row>
    <row r="70" spans="1:1" x14ac:dyDescent="0.25">
      <c r="A70" t="s">
        <v>462</v>
      </c>
    </row>
    <row r="71" spans="1:1" x14ac:dyDescent="0.25">
      <c r="A71" t="s">
        <v>117</v>
      </c>
    </row>
    <row r="72" spans="1:1" x14ac:dyDescent="0.25">
      <c r="A72" t="s">
        <v>148</v>
      </c>
    </row>
    <row r="73" spans="1:1" x14ac:dyDescent="0.25">
      <c r="A73" t="s">
        <v>63</v>
      </c>
    </row>
    <row r="74" spans="1:1" x14ac:dyDescent="0.25">
      <c r="A74" t="s">
        <v>339</v>
      </c>
    </row>
    <row r="75" spans="1:1" x14ac:dyDescent="0.25">
      <c r="A75" t="s">
        <v>117</v>
      </c>
    </row>
    <row r="76" spans="1:1" x14ac:dyDescent="0.25">
      <c r="A76" t="s">
        <v>339</v>
      </c>
    </row>
    <row r="77" spans="1:1" x14ac:dyDescent="0.25">
      <c r="A77" t="s">
        <v>1528</v>
      </c>
    </row>
    <row r="78" spans="1:1" x14ac:dyDescent="0.25">
      <c r="A78" t="s">
        <v>339</v>
      </c>
    </row>
    <row r="79" spans="1:1" x14ac:dyDescent="0.25">
      <c r="A79" t="s">
        <v>63</v>
      </c>
    </row>
    <row r="80" spans="1:1" x14ac:dyDescent="0.25">
      <c r="A80" t="s">
        <v>63</v>
      </c>
    </row>
    <row r="81" spans="1:1" x14ac:dyDescent="0.25">
      <c r="A81" t="s">
        <v>462</v>
      </c>
    </row>
    <row r="82" spans="1:1" x14ac:dyDescent="0.25">
      <c r="A82" t="s">
        <v>63</v>
      </c>
    </row>
    <row r="83" spans="1:1" x14ac:dyDescent="0.25">
      <c r="A83" t="s">
        <v>170</v>
      </c>
    </row>
    <row r="84" spans="1:1" x14ac:dyDescent="0.25">
      <c r="A84" t="s">
        <v>100</v>
      </c>
    </row>
    <row r="85" spans="1:1" x14ac:dyDescent="0.25">
      <c r="A85" t="s">
        <v>170</v>
      </c>
    </row>
    <row r="86" spans="1:1" x14ac:dyDescent="0.25">
      <c r="A86" t="s">
        <v>63</v>
      </c>
    </row>
    <row r="87" spans="1:1" x14ac:dyDescent="0.25">
      <c r="A87" t="s">
        <v>129</v>
      </c>
    </row>
    <row r="88" spans="1:1" x14ac:dyDescent="0.25">
      <c r="A88" t="s">
        <v>170</v>
      </c>
    </row>
    <row r="89" spans="1:1" x14ac:dyDescent="0.25">
      <c r="A89" t="s">
        <v>547</v>
      </c>
    </row>
    <row r="90" spans="1:1" x14ac:dyDescent="0.25">
      <c r="A90" t="s">
        <v>284</v>
      </c>
    </row>
    <row r="91" spans="1:1" x14ac:dyDescent="0.25">
      <c r="A91" t="s">
        <v>284</v>
      </c>
    </row>
    <row r="92" spans="1:1" x14ac:dyDescent="0.25">
      <c r="A92" t="s">
        <v>284</v>
      </c>
    </row>
    <row r="93" spans="1:1" x14ac:dyDescent="0.25">
      <c r="A93" t="s">
        <v>165</v>
      </c>
    </row>
    <row r="94" spans="1:1" x14ac:dyDescent="0.25">
      <c r="A94" t="s">
        <v>186</v>
      </c>
    </row>
    <row r="95" spans="1:1" x14ac:dyDescent="0.25">
      <c r="A95" t="s">
        <v>186</v>
      </c>
    </row>
    <row r="96" spans="1:1" x14ac:dyDescent="0.25">
      <c r="A96" t="s">
        <v>186</v>
      </c>
    </row>
    <row r="97" spans="1:1" x14ac:dyDescent="0.25">
      <c r="A97" t="s">
        <v>63</v>
      </c>
    </row>
    <row r="98" spans="1:1" x14ac:dyDescent="0.25">
      <c r="A98" t="s">
        <v>63</v>
      </c>
    </row>
    <row r="99" spans="1:1" x14ac:dyDescent="0.25">
      <c r="A99" t="s">
        <v>165</v>
      </c>
    </row>
    <row r="100" spans="1:1" x14ac:dyDescent="0.25">
      <c r="A100" t="s">
        <v>186</v>
      </c>
    </row>
    <row r="101" spans="1:1" x14ac:dyDescent="0.25">
      <c r="A101" t="s">
        <v>186</v>
      </c>
    </row>
    <row r="102" spans="1:1" x14ac:dyDescent="0.25">
      <c r="A102" t="s">
        <v>186</v>
      </c>
    </row>
    <row r="103" spans="1:1" x14ac:dyDescent="0.25">
      <c r="A103" t="s">
        <v>608</v>
      </c>
    </row>
    <row r="104" spans="1:1" x14ac:dyDescent="0.25">
      <c r="A104" t="s">
        <v>63</v>
      </c>
    </row>
    <row r="105" spans="1:1" x14ac:dyDescent="0.25">
      <c r="A105" t="s">
        <v>63</v>
      </c>
    </row>
    <row r="106" spans="1:1" x14ac:dyDescent="0.25">
      <c r="A106" t="s">
        <v>63</v>
      </c>
    </row>
    <row r="107" spans="1:1" x14ac:dyDescent="0.25">
      <c r="A107" t="s">
        <v>627</v>
      </c>
    </row>
    <row r="108" spans="1:1" x14ac:dyDescent="0.25">
      <c r="A108" t="s">
        <v>170</v>
      </c>
    </row>
    <row r="109" spans="1:1" x14ac:dyDescent="0.25">
      <c r="A109" t="s">
        <v>170</v>
      </c>
    </row>
    <row r="110" spans="1:1" x14ac:dyDescent="0.25">
      <c r="A110" t="s">
        <v>186</v>
      </c>
    </row>
    <row r="111" spans="1:1" x14ac:dyDescent="0.25">
      <c r="A111" t="s">
        <v>170</v>
      </c>
    </row>
    <row r="112" spans="1:1" x14ac:dyDescent="0.25">
      <c r="A112" t="s">
        <v>1548</v>
      </c>
    </row>
    <row r="113" spans="1:1" x14ac:dyDescent="0.25">
      <c r="A113" t="s">
        <v>129</v>
      </c>
    </row>
    <row r="114" spans="1:1" x14ac:dyDescent="0.25">
      <c r="A114" t="s">
        <v>339</v>
      </c>
    </row>
    <row r="115" spans="1:1" x14ac:dyDescent="0.25">
      <c r="A115" t="s">
        <v>63</v>
      </c>
    </row>
    <row r="116" spans="1:1" x14ac:dyDescent="0.25">
      <c r="A116" t="s">
        <v>284</v>
      </c>
    </row>
    <row r="117" spans="1:1" x14ac:dyDescent="0.25">
      <c r="A117" t="s">
        <v>284</v>
      </c>
    </row>
    <row r="118" spans="1:1" x14ac:dyDescent="0.25">
      <c r="A118" t="s">
        <v>1528</v>
      </c>
    </row>
    <row r="119" spans="1:1" x14ac:dyDescent="0.25">
      <c r="A119" t="s">
        <v>148</v>
      </c>
    </row>
    <row r="120" spans="1:1" x14ac:dyDescent="0.25">
      <c r="A120" t="s">
        <v>63</v>
      </c>
    </row>
    <row r="121" spans="1:1" x14ac:dyDescent="0.25">
      <c r="A121" t="s">
        <v>148</v>
      </c>
    </row>
    <row r="122" spans="1:1" x14ac:dyDescent="0.25">
      <c r="A122" t="s">
        <v>690</v>
      </c>
    </row>
    <row r="123" spans="1:1" x14ac:dyDescent="0.25">
      <c r="A123" t="s">
        <v>696</v>
      </c>
    </row>
    <row r="124" spans="1:1" x14ac:dyDescent="0.25">
      <c r="A124" t="s">
        <v>703</v>
      </c>
    </row>
    <row r="125" spans="1:1" x14ac:dyDescent="0.25">
      <c r="A125" t="s">
        <v>1559</v>
      </c>
    </row>
    <row r="126" spans="1:1" x14ac:dyDescent="0.25">
      <c r="A126" t="s">
        <v>100</v>
      </c>
    </row>
    <row r="127" spans="1:1" x14ac:dyDescent="0.25">
      <c r="A127" t="s">
        <v>186</v>
      </c>
    </row>
    <row r="128" spans="1:1" x14ac:dyDescent="0.25">
      <c r="A128" t="s">
        <v>1562</v>
      </c>
    </row>
    <row r="129" spans="1:1" x14ac:dyDescent="0.25">
      <c r="A129" t="s">
        <v>729</v>
      </c>
    </row>
    <row r="130" spans="1:1" x14ac:dyDescent="0.25">
      <c r="A130" t="s">
        <v>1548</v>
      </c>
    </row>
    <row r="131" spans="1:1" x14ac:dyDescent="0.25">
      <c r="A131" t="s">
        <v>739</v>
      </c>
    </row>
    <row r="132" spans="1:1" x14ac:dyDescent="0.25">
      <c r="A132" t="s">
        <v>428</v>
      </c>
    </row>
    <row r="133" spans="1:1" x14ac:dyDescent="0.25">
      <c r="A133" t="s">
        <v>751</v>
      </c>
    </row>
    <row r="134" spans="1:1" x14ac:dyDescent="0.25">
      <c r="A134" t="s">
        <v>117</v>
      </c>
    </row>
    <row r="135" spans="1:1" x14ac:dyDescent="0.25">
      <c r="A135" t="s">
        <v>170</v>
      </c>
    </row>
    <row r="136" spans="1:1" x14ac:dyDescent="0.25">
      <c r="A136" t="s">
        <v>129</v>
      </c>
    </row>
    <row r="137" spans="1:1" x14ac:dyDescent="0.25">
      <c r="A137" t="s">
        <v>100</v>
      </c>
    </row>
    <row r="138" spans="1:1" x14ac:dyDescent="0.25">
      <c r="A138" t="s">
        <v>775</v>
      </c>
    </row>
    <row r="139" spans="1:1" x14ac:dyDescent="0.25">
      <c r="A139" t="s">
        <v>780</v>
      </c>
    </row>
    <row r="140" spans="1:1" x14ac:dyDescent="0.25">
      <c r="A140" t="s">
        <v>784</v>
      </c>
    </row>
    <row r="141" spans="1:1" x14ac:dyDescent="0.25">
      <c r="A141" t="s">
        <v>787</v>
      </c>
    </row>
    <row r="142" spans="1:1" x14ac:dyDescent="0.25">
      <c r="A142" t="s">
        <v>791</v>
      </c>
    </row>
    <row r="143" spans="1:1" x14ac:dyDescent="0.25">
      <c r="A143" t="s">
        <v>794</v>
      </c>
    </row>
    <row r="144" spans="1:1" x14ac:dyDescent="0.25">
      <c r="A144" t="s">
        <v>63</v>
      </c>
    </row>
    <row r="145" spans="1:1" x14ac:dyDescent="0.25">
      <c r="A145" t="s">
        <v>801</v>
      </c>
    </row>
    <row r="146" spans="1:1" x14ac:dyDescent="0.25">
      <c r="A146" t="s">
        <v>805</v>
      </c>
    </row>
    <row r="147" spans="1:1" x14ac:dyDescent="0.25">
      <c r="A147" t="s">
        <v>428</v>
      </c>
    </row>
    <row r="148" spans="1:1" x14ac:dyDescent="0.25">
      <c r="A148" t="s">
        <v>129</v>
      </c>
    </row>
    <row r="149" spans="1:1" x14ac:dyDescent="0.25">
      <c r="A149" t="s">
        <v>822</v>
      </c>
    </row>
    <row r="150" spans="1:1" x14ac:dyDescent="0.25">
      <c r="A150" t="s">
        <v>1578</v>
      </c>
    </row>
    <row r="151" spans="1:1" x14ac:dyDescent="0.25">
      <c r="A151" t="s">
        <v>805</v>
      </c>
    </row>
    <row r="152" spans="1:1" x14ac:dyDescent="0.25">
      <c r="A152" t="s">
        <v>63</v>
      </c>
    </row>
    <row r="153" spans="1:1" x14ac:dyDescent="0.25">
      <c r="A153" t="s">
        <v>344</v>
      </c>
    </row>
    <row r="154" spans="1:1" x14ac:dyDescent="0.25">
      <c r="A154" t="s">
        <v>344</v>
      </c>
    </row>
    <row r="155" spans="1:1" x14ac:dyDescent="0.25">
      <c r="A155" t="s">
        <v>1582</v>
      </c>
    </row>
    <row r="156" spans="1:1" x14ac:dyDescent="0.25">
      <c r="A156" t="s">
        <v>63</v>
      </c>
    </row>
    <row r="157" spans="1:1" x14ac:dyDescent="0.25">
      <c r="A157" t="s">
        <v>1584</v>
      </c>
    </row>
    <row r="158" spans="1:1" x14ac:dyDescent="0.25">
      <c r="A158" t="s">
        <v>63</v>
      </c>
    </row>
    <row r="159" spans="1:1" x14ac:dyDescent="0.25">
      <c r="A159" t="s">
        <v>100</v>
      </c>
    </row>
    <row r="160" spans="1:1" x14ac:dyDescent="0.25">
      <c r="A160" t="s">
        <v>100</v>
      </c>
    </row>
    <row r="161" spans="1:1" x14ac:dyDescent="0.25">
      <c r="A161" t="s">
        <v>148</v>
      </c>
    </row>
    <row r="162" spans="1:1" x14ac:dyDescent="0.25">
      <c r="A162" t="s">
        <v>378</v>
      </c>
    </row>
    <row r="163" spans="1:1" x14ac:dyDescent="0.25">
      <c r="A163" t="s">
        <v>170</v>
      </c>
    </row>
    <row r="164" spans="1:1" x14ac:dyDescent="0.25">
      <c r="A164" t="s">
        <v>100</v>
      </c>
    </row>
    <row r="165" spans="1:1" x14ac:dyDescent="0.25">
      <c r="A165" t="s">
        <v>1589</v>
      </c>
    </row>
    <row r="166" spans="1:1" x14ac:dyDescent="0.25">
      <c r="A166" t="s">
        <v>63</v>
      </c>
    </row>
    <row r="167" spans="1:1" x14ac:dyDescent="0.25">
      <c r="A167" t="s">
        <v>729</v>
      </c>
    </row>
    <row r="168" spans="1:1" x14ac:dyDescent="0.25">
      <c r="A168" t="s">
        <v>690</v>
      </c>
    </row>
    <row r="169" spans="1:1" x14ac:dyDescent="0.25">
      <c r="A169" t="s">
        <v>165</v>
      </c>
    </row>
    <row r="170" spans="1:1" x14ac:dyDescent="0.25">
      <c r="A170" t="s">
        <v>186</v>
      </c>
    </row>
    <row r="171" spans="1:1" x14ac:dyDescent="0.25">
      <c r="A171" t="s">
        <v>186</v>
      </c>
    </row>
    <row r="172" spans="1:1" x14ac:dyDescent="0.25">
      <c r="A172" t="s">
        <v>186</v>
      </c>
    </row>
    <row r="173" spans="1:1" x14ac:dyDescent="0.25">
      <c r="A173" t="s">
        <v>63</v>
      </c>
    </row>
    <row r="174" spans="1:1" x14ac:dyDescent="0.25">
      <c r="A174" t="s">
        <v>63</v>
      </c>
    </row>
    <row r="175" spans="1:1" x14ac:dyDescent="0.25">
      <c r="A175" t="s">
        <v>63</v>
      </c>
    </row>
    <row r="176" spans="1:1" x14ac:dyDescent="0.25">
      <c r="A176" t="s">
        <v>63</v>
      </c>
    </row>
    <row r="177" spans="1:1" x14ac:dyDescent="0.25">
      <c r="A177" t="s">
        <v>934</v>
      </c>
    </row>
    <row r="178" spans="1:1" x14ac:dyDescent="0.25">
      <c r="A178" t="s">
        <v>117</v>
      </c>
    </row>
    <row r="179" spans="1:1" x14ac:dyDescent="0.25">
      <c r="A179" t="s">
        <v>608</v>
      </c>
    </row>
    <row r="180" spans="1:1" x14ac:dyDescent="0.25">
      <c r="A180" t="s">
        <v>100</v>
      </c>
    </row>
    <row r="181" spans="1:1" x14ac:dyDescent="0.25">
      <c r="A181" t="s">
        <v>950</v>
      </c>
    </row>
    <row r="182" spans="1:1" x14ac:dyDescent="0.25">
      <c r="A182" t="s">
        <v>63</v>
      </c>
    </row>
    <row r="183" spans="1:1" x14ac:dyDescent="0.25">
      <c r="A183" t="s">
        <v>63</v>
      </c>
    </row>
    <row r="184" spans="1:1" x14ac:dyDescent="0.25">
      <c r="A184" t="s">
        <v>1604</v>
      </c>
    </row>
    <row r="185" spans="1:1" x14ac:dyDescent="0.25">
      <c r="A185" t="s">
        <v>165</v>
      </c>
    </row>
    <row r="186" spans="1:1" x14ac:dyDescent="0.25">
      <c r="A186" t="s">
        <v>186</v>
      </c>
    </row>
    <row r="187" spans="1:1" x14ac:dyDescent="0.25">
      <c r="A187" t="s">
        <v>186</v>
      </c>
    </row>
    <row r="188" spans="1:1" x14ac:dyDescent="0.25">
      <c r="A188" t="s">
        <v>186</v>
      </c>
    </row>
    <row r="189" spans="1:1" x14ac:dyDescent="0.25">
      <c r="A189" t="s">
        <v>1528</v>
      </c>
    </row>
    <row r="190" spans="1:1" x14ac:dyDescent="0.25">
      <c r="A190" t="s">
        <v>63</v>
      </c>
    </row>
    <row r="191" spans="1:1" x14ac:dyDescent="0.25">
      <c r="A191" t="s">
        <v>1609</v>
      </c>
    </row>
    <row r="192" spans="1:1" x14ac:dyDescent="0.25">
      <c r="A192" t="s">
        <v>378</v>
      </c>
    </row>
    <row r="193" spans="1:1" x14ac:dyDescent="0.25">
      <c r="A193" t="s">
        <v>1528</v>
      </c>
    </row>
    <row r="194" spans="1:1" x14ac:dyDescent="0.25">
      <c r="A194" t="s">
        <v>627</v>
      </c>
    </row>
    <row r="195" spans="1:1" x14ac:dyDescent="0.25">
      <c r="A195" t="s">
        <v>627</v>
      </c>
    </row>
    <row r="196" spans="1:1" x14ac:dyDescent="0.25">
      <c r="A196" t="s">
        <v>627</v>
      </c>
    </row>
    <row r="197" spans="1:1" x14ac:dyDescent="0.25">
      <c r="A197" t="s">
        <v>729</v>
      </c>
    </row>
    <row r="198" spans="1:1" x14ac:dyDescent="0.25">
      <c r="A198" t="s">
        <v>608</v>
      </c>
    </row>
    <row r="199" spans="1:1" x14ac:dyDescent="0.25">
      <c r="A199" t="s">
        <v>100</v>
      </c>
    </row>
    <row r="200" spans="1:1" x14ac:dyDescent="0.25">
      <c r="A200" t="s">
        <v>63</v>
      </c>
    </row>
    <row r="201" spans="1:1" x14ac:dyDescent="0.25">
      <c r="A201" t="s">
        <v>339</v>
      </c>
    </row>
    <row r="202" spans="1:1" x14ac:dyDescent="0.25">
      <c r="A202" t="s">
        <v>1559</v>
      </c>
    </row>
    <row r="203" spans="1:1" x14ac:dyDescent="0.25">
      <c r="A203" t="s">
        <v>344</v>
      </c>
    </row>
    <row r="204" spans="1:1" x14ac:dyDescent="0.25">
      <c r="A204" t="s">
        <v>696</v>
      </c>
    </row>
    <row r="205" spans="1:1" x14ac:dyDescent="0.25">
      <c r="A205" t="s">
        <v>63</v>
      </c>
    </row>
    <row r="206" spans="1:1" x14ac:dyDescent="0.25">
      <c r="A206" t="s">
        <v>170</v>
      </c>
    </row>
    <row r="207" spans="1:1" x14ac:dyDescent="0.25">
      <c r="A207" t="s">
        <v>100</v>
      </c>
    </row>
    <row r="208" spans="1:1" x14ac:dyDescent="0.25">
      <c r="A208" t="s">
        <v>1068</v>
      </c>
    </row>
    <row r="209" spans="1:1" x14ac:dyDescent="0.25">
      <c r="A209" t="s">
        <v>339</v>
      </c>
    </row>
    <row r="210" spans="1:1" x14ac:dyDescent="0.25">
      <c r="A210" t="s">
        <v>63</v>
      </c>
    </row>
    <row r="211" spans="1:1" x14ac:dyDescent="0.25">
      <c r="A211" t="s">
        <v>1076</v>
      </c>
    </row>
    <row r="212" spans="1:1" x14ac:dyDescent="0.25">
      <c r="A212" t="s">
        <v>100</v>
      </c>
    </row>
    <row r="213" spans="1:1" x14ac:dyDescent="0.25">
      <c r="A213" t="s">
        <v>100</v>
      </c>
    </row>
    <row r="214" spans="1:1" x14ac:dyDescent="0.25">
      <c r="A214" t="s">
        <v>805</v>
      </c>
    </row>
    <row r="215" spans="1:1" x14ac:dyDescent="0.25">
      <c r="A215" t="s">
        <v>129</v>
      </c>
    </row>
    <row r="216" spans="1:1" x14ac:dyDescent="0.25">
      <c r="A216" t="s">
        <v>170</v>
      </c>
    </row>
    <row r="217" spans="1:1" x14ac:dyDescent="0.25">
      <c r="A217" t="s">
        <v>100</v>
      </c>
    </row>
    <row r="218" spans="1:1" x14ac:dyDescent="0.25">
      <c r="A218" t="s">
        <v>1106</v>
      </c>
    </row>
    <row r="219" spans="1:1" x14ac:dyDescent="0.25">
      <c r="A219" t="s">
        <v>1636</v>
      </c>
    </row>
    <row r="220" spans="1:1" x14ac:dyDescent="0.25">
      <c r="A220" t="s">
        <v>1638</v>
      </c>
    </row>
    <row r="221" spans="1:1" x14ac:dyDescent="0.25">
      <c r="A221" t="s">
        <v>1640</v>
      </c>
    </row>
    <row r="222" spans="1:1" x14ac:dyDescent="0.25">
      <c r="A222" t="s">
        <v>1642</v>
      </c>
    </row>
    <row r="223" spans="1:1" x14ac:dyDescent="0.25">
      <c r="A223" t="s">
        <v>1644</v>
      </c>
    </row>
    <row r="224" spans="1:1" x14ac:dyDescent="0.25">
      <c r="A224" t="s">
        <v>165</v>
      </c>
    </row>
    <row r="225" spans="1:1" x14ac:dyDescent="0.25">
      <c r="A225" t="s">
        <v>186</v>
      </c>
    </row>
    <row r="226" spans="1:1" x14ac:dyDescent="0.25">
      <c r="A226" t="s">
        <v>186</v>
      </c>
    </row>
    <row r="227" spans="1:1" x14ac:dyDescent="0.25">
      <c r="A227" t="s">
        <v>186</v>
      </c>
    </row>
    <row r="228" spans="1:1" x14ac:dyDescent="0.25">
      <c r="A228" t="s">
        <v>100</v>
      </c>
    </row>
    <row r="229" spans="1:1" x14ac:dyDescent="0.25">
      <c r="A229" t="s">
        <v>100</v>
      </c>
    </row>
    <row r="230" spans="1:1" x14ac:dyDescent="0.25">
      <c r="A230" t="s">
        <v>344</v>
      </c>
    </row>
    <row r="231" spans="1:1" x14ac:dyDescent="0.25">
      <c r="A231" t="s">
        <v>1164</v>
      </c>
    </row>
    <row r="232" spans="1:1" x14ac:dyDescent="0.25">
      <c r="A232" t="s">
        <v>805</v>
      </c>
    </row>
    <row r="233" spans="1:1" x14ac:dyDescent="0.25">
      <c r="A233" t="s">
        <v>63</v>
      </c>
    </row>
    <row r="234" spans="1:1" x14ac:dyDescent="0.25">
      <c r="A234" t="s">
        <v>462</v>
      </c>
    </row>
    <row r="235" spans="1:1" x14ac:dyDescent="0.25">
      <c r="A235" t="s">
        <v>1528</v>
      </c>
    </row>
    <row r="236" spans="1:1" x14ac:dyDescent="0.25">
      <c r="A236" t="s">
        <v>1659</v>
      </c>
    </row>
    <row r="237" spans="1:1" x14ac:dyDescent="0.25">
      <c r="A237" t="s">
        <v>63</v>
      </c>
    </row>
    <row r="238" spans="1:1" x14ac:dyDescent="0.25">
      <c r="A238" t="s">
        <v>63</v>
      </c>
    </row>
    <row r="239" spans="1:1" x14ac:dyDescent="0.25">
      <c r="A239" t="s">
        <v>63</v>
      </c>
    </row>
    <row r="240" spans="1:1" x14ac:dyDescent="0.25">
      <c r="A240" t="s">
        <v>63</v>
      </c>
    </row>
    <row r="241" spans="1:1" x14ac:dyDescent="0.25">
      <c r="A241" t="s">
        <v>63</v>
      </c>
    </row>
    <row r="242" spans="1:1" x14ac:dyDescent="0.25">
      <c r="A242" t="s">
        <v>63</v>
      </c>
    </row>
    <row r="243" spans="1:1" x14ac:dyDescent="0.25">
      <c r="A243" t="s">
        <v>63</v>
      </c>
    </row>
    <row r="244" spans="1:1" x14ac:dyDescent="0.25">
      <c r="A244" t="s">
        <v>63</v>
      </c>
    </row>
    <row r="245" spans="1:1" x14ac:dyDescent="0.25">
      <c r="A245" t="s">
        <v>63</v>
      </c>
    </row>
    <row r="246" spans="1:1" x14ac:dyDescent="0.25">
      <c r="A246" t="s">
        <v>63</v>
      </c>
    </row>
    <row r="247" spans="1:1" x14ac:dyDescent="0.25">
      <c r="A247" t="s">
        <v>63</v>
      </c>
    </row>
    <row r="248" spans="1:1" x14ac:dyDescent="0.25">
      <c r="A248" t="s">
        <v>63</v>
      </c>
    </row>
    <row r="249" spans="1:1" x14ac:dyDescent="0.25">
      <c r="A249" t="s">
        <v>63</v>
      </c>
    </row>
    <row r="250" spans="1:1" x14ac:dyDescent="0.25">
      <c r="A250" t="s">
        <v>63</v>
      </c>
    </row>
    <row r="251" spans="1:1" x14ac:dyDescent="0.25">
      <c r="A251" t="s">
        <v>63</v>
      </c>
    </row>
    <row r="252" spans="1:1" x14ac:dyDescent="0.25">
      <c r="A252" t="s">
        <v>63</v>
      </c>
    </row>
    <row r="253" spans="1:1" x14ac:dyDescent="0.25">
      <c r="A253" t="s">
        <v>63</v>
      </c>
    </row>
    <row r="254" spans="1:1" x14ac:dyDescent="0.25">
      <c r="A254" t="s">
        <v>63</v>
      </c>
    </row>
    <row r="255" spans="1:1" x14ac:dyDescent="0.25">
      <c r="A255" t="s">
        <v>63</v>
      </c>
    </row>
    <row r="256" spans="1:1" x14ac:dyDescent="0.25">
      <c r="A256" t="s">
        <v>63</v>
      </c>
    </row>
    <row r="257" spans="1:1" x14ac:dyDescent="0.25">
      <c r="A257" t="s">
        <v>63</v>
      </c>
    </row>
    <row r="258" spans="1:1" x14ac:dyDescent="0.25">
      <c r="A258" t="s">
        <v>63</v>
      </c>
    </row>
    <row r="259" spans="1:1" x14ac:dyDescent="0.25">
      <c r="A259" t="s">
        <v>63</v>
      </c>
    </row>
    <row r="260" spans="1:1" x14ac:dyDescent="0.25">
      <c r="A260" t="s">
        <v>63</v>
      </c>
    </row>
    <row r="261" spans="1:1" x14ac:dyDescent="0.25">
      <c r="A261" t="s">
        <v>63</v>
      </c>
    </row>
    <row r="262" spans="1:1" x14ac:dyDescent="0.25">
      <c r="A262" t="s">
        <v>63</v>
      </c>
    </row>
    <row r="263" spans="1:1" x14ac:dyDescent="0.25">
      <c r="A263" t="s">
        <v>63</v>
      </c>
    </row>
    <row r="264" spans="1:1" x14ac:dyDescent="0.25">
      <c r="A264" t="s">
        <v>63</v>
      </c>
    </row>
    <row r="265" spans="1:1" x14ac:dyDescent="0.25">
      <c r="A265" t="s">
        <v>63</v>
      </c>
    </row>
    <row r="266" spans="1:1" x14ac:dyDescent="0.25">
      <c r="A266" t="s">
        <v>63</v>
      </c>
    </row>
    <row r="267" spans="1:1" x14ac:dyDescent="0.25">
      <c r="A267" t="s">
        <v>63</v>
      </c>
    </row>
    <row r="268" spans="1:1" x14ac:dyDescent="0.25">
      <c r="A268" t="s">
        <v>63</v>
      </c>
    </row>
    <row r="269" spans="1:1" x14ac:dyDescent="0.25">
      <c r="A269" t="s">
        <v>1670</v>
      </c>
    </row>
    <row r="270" spans="1:1" x14ac:dyDescent="0.25">
      <c r="A270" t="s">
        <v>1672</v>
      </c>
    </row>
    <row r="271" spans="1:1" x14ac:dyDescent="0.25">
      <c r="A271" t="s">
        <v>63</v>
      </c>
    </row>
    <row r="272" spans="1:1" x14ac:dyDescent="0.25">
      <c r="A272" t="s">
        <v>63</v>
      </c>
    </row>
    <row r="273" spans="1:1" x14ac:dyDescent="0.25">
      <c r="A273" t="s">
        <v>63</v>
      </c>
    </row>
    <row r="274" spans="1:1" x14ac:dyDescent="0.25">
      <c r="A274" t="s">
        <v>63</v>
      </c>
    </row>
    <row r="275" spans="1:1" x14ac:dyDescent="0.25">
      <c r="A275" t="s">
        <v>63</v>
      </c>
    </row>
    <row r="276" spans="1:1" x14ac:dyDescent="0.25">
      <c r="A276" t="s">
        <v>63</v>
      </c>
    </row>
    <row r="277" spans="1:1" x14ac:dyDescent="0.25">
      <c r="A277" t="s">
        <v>1672</v>
      </c>
    </row>
    <row r="278" spans="1:1" x14ac:dyDescent="0.25">
      <c r="A278" t="s">
        <v>63</v>
      </c>
    </row>
    <row r="279" spans="1:1" x14ac:dyDescent="0.25">
      <c r="A279" t="s">
        <v>63</v>
      </c>
    </row>
    <row r="280" spans="1:1" x14ac:dyDescent="0.25">
      <c r="A280" t="s">
        <v>63</v>
      </c>
    </row>
    <row r="281" spans="1:1" x14ac:dyDescent="0.25">
      <c r="A281" t="s">
        <v>63</v>
      </c>
    </row>
    <row r="282" spans="1:1" x14ac:dyDescent="0.25">
      <c r="A282" t="s">
        <v>63</v>
      </c>
    </row>
    <row r="283" spans="1:1" x14ac:dyDescent="0.25">
      <c r="A283" t="s">
        <v>63</v>
      </c>
    </row>
    <row r="284" spans="1:1" x14ac:dyDescent="0.25">
      <c r="A284" t="s">
        <v>63</v>
      </c>
    </row>
    <row r="285" spans="1:1" x14ac:dyDescent="0.25">
      <c r="A285" t="s">
        <v>1516</v>
      </c>
    </row>
    <row r="286" spans="1:1" x14ac:dyDescent="0.25">
      <c r="A286" t="s">
        <v>63</v>
      </c>
    </row>
    <row r="287" spans="1:1" x14ac:dyDescent="0.25">
      <c r="A287" t="s">
        <v>63</v>
      </c>
    </row>
    <row r="288" spans="1:1" x14ac:dyDescent="0.25">
      <c r="A288" t="s">
        <v>63</v>
      </c>
    </row>
    <row r="289" spans="1:1" x14ac:dyDescent="0.25">
      <c r="A289" t="s">
        <v>63</v>
      </c>
    </row>
    <row r="290" spans="1:1" x14ac:dyDescent="0.25">
      <c r="A290" t="s">
        <v>63</v>
      </c>
    </row>
    <row r="291" spans="1:1" x14ac:dyDescent="0.25">
      <c r="A291" t="s">
        <v>63</v>
      </c>
    </row>
    <row r="292" spans="1:1" x14ac:dyDescent="0.25">
      <c r="A292" t="s">
        <v>63</v>
      </c>
    </row>
    <row r="293" spans="1:1" x14ac:dyDescent="0.25">
      <c r="A293" t="s">
        <v>63</v>
      </c>
    </row>
    <row r="294" spans="1:1" x14ac:dyDescent="0.25">
      <c r="A294" t="s">
        <v>63</v>
      </c>
    </row>
    <row r="295" spans="1:1" x14ac:dyDescent="0.25">
      <c r="A295" t="s">
        <v>63</v>
      </c>
    </row>
    <row r="296" spans="1:1" x14ac:dyDescent="0.25">
      <c r="A296" t="s">
        <v>63</v>
      </c>
    </row>
    <row r="297" spans="1:1" x14ac:dyDescent="0.25">
      <c r="A297" t="s">
        <v>63</v>
      </c>
    </row>
    <row r="298" spans="1:1" x14ac:dyDescent="0.25">
      <c r="A298" t="s">
        <v>63</v>
      </c>
    </row>
    <row r="299" spans="1:1" x14ac:dyDescent="0.25">
      <c r="A299" t="s">
        <v>63</v>
      </c>
    </row>
    <row r="300" spans="1:1" x14ac:dyDescent="0.25">
      <c r="A300" t="s">
        <v>63</v>
      </c>
    </row>
    <row r="301" spans="1:1" x14ac:dyDescent="0.25">
      <c r="A301" t="s">
        <v>63</v>
      </c>
    </row>
    <row r="302" spans="1:1" x14ac:dyDescent="0.25">
      <c r="A302" t="s">
        <v>63</v>
      </c>
    </row>
    <row r="303" spans="1:1" x14ac:dyDescent="0.25">
      <c r="A303" t="s">
        <v>63</v>
      </c>
    </row>
    <row r="304" spans="1:1" x14ac:dyDescent="0.25">
      <c r="A304" t="s">
        <v>63</v>
      </c>
    </row>
    <row r="305" spans="1:1" x14ac:dyDescent="0.25">
      <c r="A305" t="s">
        <v>63</v>
      </c>
    </row>
    <row r="306" spans="1:1" x14ac:dyDescent="0.25">
      <c r="A306" t="s">
        <v>63</v>
      </c>
    </row>
    <row r="307" spans="1:1" x14ac:dyDescent="0.25">
      <c r="A307" t="s">
        <v>63</v>
      </c>
    </row>
    <row r="308" spans="1:1" x14ac:dyDescent="0.25">
      <c r="A308" t="s">
        <v>63</v>
      </c>
    </row>
    <row r="309" spans="1:1" x14ac:dyDescent="0.25">
      <c r="A309" t="s">
        <v>63</v>
      </c>
    </row>
    <row r="310" spans="1:1" x14ac:dyDescent="0.25">
      <c r="A310" t="s">
        <v>63</v>
      </c>
    </row>
    <row r="311" spans="1:1" x14ac:dyDescent="0.25">
      <c r="A311" t="s">
        <v>63</v>
      </c>
    </row>
    <row r="312" spans="1:1" x14ac:dyDescent="0.25">
      <c r="A312" t="s">
        <v>63</v>
      </c>
    </row>
    <row r="313" spans="1:1" x14ac:dyDescent="0.25">
      <c r="A313" t="s">
        <v>63</v>
      </c>
    </row>
    <row r="314" spans="1:1" x14ac:dyDescent="0.25">
      <c r="A314" t="s">
        <v>63</v>
      </c>
    </row>
    <row r="315" spans="1:1" x14ac:dyDescent="0.25">
      <c r="A315" t="s">
        <v>63</v>
      </c>
    </row>
    <row r="316" spans="1:1" x14ac:dyDescent="0.25">
      <c r="A316" t="s">
        <v>63</v>
      </c>
    </row>
    <row r="317" spans="1:1" x14ac:dyDescent="0.25">
      <c r="A317" t="s">
        <v>63</v>
      </c>
    </row>
    <row r="318" spans="1:1" x14ac:dyDescent="0.25">
      <c r="A318" t="s">
        <v>63</v>
      </c>
    </row>
    <row r="319" spans="1:1" x14ac:dyDescent="0.25">
      <c r="A319" t="s">
        <v>63</v>
      </c>
    </row>
    <row r="320" spans="1:1" x14ac:dyDescent="0.25">
      <c r="A320" t="s">
        <v>63</v>
      </c>
    </row>
    <row r="321" spans="1:1" x14ac:dyDescent="0.25">
      <c r="A321" t="s">
        <v>63</v>
      </c>
    </row>
    <row r="322" spans="1:1" x14ac:dyDescent="0.25">
      <c r="A322" t="s">
        <v>63</v>
      </c>
    </row>
    <row r="323" spans="1:1" x14ac:dyDescent="0.25">
      <c r="A323" t="s">
        <v>63</v>
      </c>
    </row>
    <row r="324" spans="1:1" x14ac:dyDescent="0.25">
      <c r="A324" t="s">
        <v>63</v>
      </c>
    </row>
    <row r="325" spans="1:1" x14ac:dyDescent="0.25">
      <c r="A325" t="s">
        <v>63</v>
      </c>
    </row>
    <row r="326" spans="1:1" x14ac:dyDescent="0.25">
      <c r="A326" t="s">
        <v>63</v>
      </c>
    </row>
    <row r="327" spans="1:1" x14ac:dyDescent="0.25">
      <c r="A327" t="s">
        <v>63</v>
      </c>
    </row>
    <row r="328" spans="1:1" x14ac:dyDescent="0.25">
      <c r="A328" t="s">
        <v>63</v>
      </c>
    </row>
    <row r="329" spans="1:1" x14ac:dyDescent="0.25">
      <c r="A329" t="s">
        <v>63</v>
      </c>
    </row>
    <row r="330" spans="1:1" x14ac:dyDescent="0.25">
      <c r="A330" t="s">
        <v>63</v>
      </c>
    </row>
    <row r="331" spans="1:1" x14ac:dyDescent="0.25">
      <c r="A331" t="s">
        <v>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monsters original</vt:lpstr>
      <vt:lpstr>monsters</vt:lpstr>
      <vt:lpstr>StrByType</vt:lpstr>
      <vt:lpstr>DexByType</vt:lpstr>
      <vt:lpstr>ConByType</vt:lpstr>
      <vt:lpstr>IntByType</vt:lpstr>
      <vt:lpstr>WisByType</vt:lpstr>
      <vt:lpstr>ChaByType</vt:lpstr>
      <vt:lpstr>CRByType</vt:lpstr>
      <vt:lpstr>Languages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Tyler Shields</cp:lastModifiedBy>
  <dcterms:created xsi:type="dcterms:W3CDTF">2026-02-12T19:06:53Z</dcterms:created>
  <dcterms:modified xsi:type="dcterms:W3CDTF">2026-02-12T19:06:53Z</dcterms:modified>
</cp:coreProperties>
</file>